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0" showHorizontalScroll="1" showVerticalScroll="1"/>
  </bookViews>
  <sheets>
    <sheet name="1. Assumptions" sheetId="1" state="visible" r:id="rId1"/>
    <sheet name="2. Unit Economics" sheetId="2" state="visible" r:id="rId2"/>
    <sheet name="3. P&amp;L &amp; ROI" sheetId="3" state="visible" r:id="rId3"/>
  </sheets>
  <calcPr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<sst xmlns="http://schemas.openxmlformats.org/spreadsheetml/2006/main" count="137" uniqueCount="137">
  <si>
    <t xml:space="preserve">Tab 1 — ASSUMPTIONS  /  Giả định đầu vào</t>
  </si>
  <si>
    <t xml:space="preserve">Luật chơi: chỉ điền vào các ô MÀU VÀNG. Các ô khác là công thức và sẽ tự tính.</t>
  </si>
  <si>
    <t xml:space="preserve">1. Product &amp; Pricing  /  Sản phẩm &amp; Giá</t>
  </si>
  <si>
    <t>Optimistic</t>
  </si>
  <si>
    <t>Base</t>
  </si>
  <si>
    <t>Pessimistic</t>
  </si>
  <si>
    <t xml:space="preserve">Đơn vị</t>
  </si>
  <si>
    <t xml:space="preserve">Ghi chú / Note</t>
  </si>
  <si>
    <t xml:space="preserve">ARPU — Giá bán bình quân/khách/tháng</t>
  </si>
  <si>
    <t>VND</t>
  </si>
  <si>
    <t xml:space="preserve">Pricing cao hơn → khó bán hơn nhưng margin tốt hơn</t>
  </si>
  <si>
    <t xml:space="preserve">Adoption rate — % TAM chuyển thành khách/tháng</t>
  </si>
  <si>
    <t>%/tháng</t>
  </si>
  <si>
    <t xml:space="preserve">% TAM chuyển thành khách trả tiền mới mỗi tháng</t>
  </si>
  <si>
    <t xml:space="preserve">Total addressable market (số khách tiềm năng)</t>
  </si>
  <si>
    <t>khách</t>
  </si>
  <si>
    <t xml:space="preserve">Tổng số khách hàng tiềm năng có thể tiếp cận được</t>
  </si>
  <si>
    <t xml:space="preserve">2. COGS  /  Chi phí biến đổi trên mỗi khách hàng</t>
  </si>
  <si>
    <t xml:space="preserve">API cost / khách / tháng</t>
  </si>
  <si>
    <t xml:space="preserve">Tiền gọi OpenAI/Anthropic/Gemini API</t>
  </si>
  <si>
    <t xml:space="preserve">Hidden costs (labeling, retraining, QA)</t>
  </si>
  <si>
    <t xml:space="preserve">Đừng quên! Đây là cục giết startup AI</t>
  </si>
  <si>
    <t xml:space="preserve">Infrastructure (server/cloud) / khách</t>
  </si>
  <si>
    <t xml:space="preserve">Phần allocate cloud cost cho mỗi khách</t>
  </si>
  <si>
    <t xml:space="preserve">→ Tổng COGS / khách / tháng</t>
  </si>
  <si>
    <t xml:space="preserve">3. Customer Behavior  /  Hành vi khách hàng</t>
  </si>
  <si>
    <t xml:space="preserve">Monthly Churn Rate — % khách rời mỗi tháng</t>
  </si>
  <si>
    <t>%</t>
  </si>
  <si>
    <t xml:space="preserve">Benchmark AI product &lt; 5%/tháng</t>
  </si>
  <si>
    <t xml:space="preserve">→ Số tháng ở lại trung bình</t>
  </si>
  <si>
    <t xml:space="preserve">4. Sales &amp; Marketing  /  Chi phí thu hút khách</t>
  </si>
  <si>
    <t xml:space="preserve">CAC — Tổng chi phí có 1 khách hàng mới</t>
  </si>
  <si>
    <t xml:space="preserve">Tổng tiền Marketing &amp; Sales / Số khách mới</t>
  </si>
  <si>
    <t xml:space="preserve">5. Fixed Costs  /  Chi phí cố định hàng tháng</t>
  </si>
  <si>
    <t xml:space="preserve">Salaries — Lương team (PM/Dev/Designer)</t>
  </si>
  <si>
    <t>VND/tháng</t>
  </si>
  <si>
    <t xml:space="preserve">Pessimistic = phải hire thêm nếu khó scale</t>
  </si>
  <si>
    <t xml:space="preserve">Office, tools, admin</t>
  </si>
  <si>
    <t xml:space="preserve">Marketing budget hàng tháng</t>
  </si>
  <si>
    <t xml:space="preserve">→ Tổng Fixed Cost / tháng</t>
  </si>
  <si>
    <t xml:space="preserve">6. Initial Investment  /  Vốn đầu tư ban đầu</t>
  </si>
  <si>
    <t xml:space="preserve">Vốn đầu tư ban đầu (build MVP, setup)</t>
  </si>
  <si>
    <t xml:space="preserve">Chi phí 1 lần — lương team build MVP, infrastructure setup</t>
  </si>
  <si>
    <t xml:space="preserve">Tiền mặt ban đầu (sau khi đã trừ vốn đầu tư)</t>
  </si>
  <si>
    <t xml:space="preserve">Số tiền có sẵn để chi trả fixed cost trong giai đoạn đầu</t>
  </si>
  <si>
    <t xml:space="preserve">7. Discount Rate  /  Tỷ suất chiết khấu (cho NPV)</t>
  </si>
  <si>
    <t xml:space="preserve">Annual discount rate (WACC)</t>
  </si>
  <si>
    <t>%/năm</t>
  </si>
  <si>
    <t xml:space="preserve">Mức kỳ vọng tối thiểu của nhà đầu tư cho dự án AI rủi ro</t>
  </si>
  <si>
    <t xml:space="preserve">→ Monthly discount rate</t>
  </si>
  <si>
    <t xml:space="preserve">8. Decision Note  /  Ghi chú quyết định</t>
  </si>
  <si>
    <t xml:space="preserve">Điểm 1: Biên lợi nhuận 90% ảo và CAC 300K quá thấp
Partial. Chấp nhận CAC 300K là thiếu sót chi phí nhân sự sales, sẽ điều chỉnh Base CAC lên 500K. Reject việc ép biên lợi nhuận xuống 40-60%, vì BeeTutor là marketplace thu hoa hồng giao dịch (doanh thu chính), AI chỉ là tính năng phụ trợ (Quiz/Matching) nên cấu trúc COGS không bị đè nặng như pure AI SaaS.
Điểm 2: Hidden Cost 15K/khách quá mỏng
Accept. Sẽ tăng Hidden Cost Base lên 30K/khách. Quá trình giải quyết tranh chấp (dispute) giữa học viên - gia sư và gán nhãn dữ liệu đánh giá cần sự can thiệp của Human-in-the-loop, chi phí này sẽ tăng bậc thang theo quy mô.
Điểm 3: LTV/CAC 30x là cờ đỏ, Churn 5% chưa tính tính mùa vụ
Accept. Chợ gia sư có tính thời vụ cao (sau thi học kỳ khách sẽ rời đi). Sẽ điều chỉnh Churn Base lên 10%/tháng. Kết hợp với việc tăng CAC lên 500K, tỷ lệ LTV/CAC sẽ tự rớt về ngưỡng thực tế 4x - 5x, xóa bỏ cờ đỏ thổi phồng.
Điểm 4: Kịch bản Pessimistic quá mềm
Accept. Sẽ stress-test mạnh hơn: Đẩy CAC Pessimistic lên thẳng 1,000,000 VNĐ và Churn lên 15%. Dù các chỉ số Unit Economics có thể chuyển đỏ, nhưng nhờ chốt chặn định phí 50 triệu/tháng (không lương dev), dự án vẫn chứng minh được khả năng sinh tồn (Runway &gt; 12 tháng).
Điểm 5: Pricing Hybrid thiếu giới hạn cứng (Hard-limit)
Accept. Đưa Hard-limit vào mô hình: Gói Pro (250K) khóa chặt ở mức 10 AI Quiz/tháng. Bất kỳ request nào vượt mức sẽ áp dụng Overage charge (trả thêm theo lượt dùng) để khóa chặt mức trần COGS, chống power user lạm dụng API.</t>
  </si>
  <si>
    <t xml:space="preserve">Tab 2 — UNIT ECONOMICS  /  Kinh tế đơn vị</t>
  </si>
  <si>
    <t xml:space="preserve">Tự động tính từ Tab 1. Kiểm tra: LTV/CAC &gt; 3 (Base) và CAC Payback &lt; 12 tháng.</t>
  </si>
  <si>
    <t xml:space="preserve">Chỉ số</t>
  </si>
  <si>
    <t xml:space="preserve">Benchmark / Note</t>
  </si>
  <si>
    <t xml:space="preserve">Trên mỗi khách hàng / per customer</t>
  </si>
  <si>
    <t xml:space="preserve">ARPU / tháng</t>
  </si>
  <si>
    <t xml:space="preserve">Liên kết từ Tab Assumptions</t>
  </si>
  <si>
    <t xml:space="preserve">COGS / tháng</t>
  </si>
  <si>
    <t xml:space="preserve">→ Gross Profit / tháng</t>
  </si>
  <si>
    <t xml:space="preserve">→ Gross Margin %</t>
  </si>
  <si>
    <t xml:space="preserve">AI product target: 40-60%. SaaS truyền thống: 80%+</t>
  </si>
  <si>
    <t xml:space="preserve">LTV — Customer Lifetime Value</t>
  </si>
  <si>
    <t xml:space="preserve">Số tháng ở lại trung bình</t>
  </si>
  <si>
    <t>tháng</t>
  </si>
  <si>
    <t xml:space="preserve">→ LTV = Gross Profit × Số tháng ở lại</t>
  </si>
  <si>
    <t xml:space="preserve">Tổng lợi nhuận gộp một khách mang lại trong vòng đời</t>
  </si>
  <si>
    <t xml:space="preserve">CAC — Customer Acquisition Cost</t>
  </si>
  <si>
    <t xml:space="preserve">CAC — Chi phí thu hút 1 khách</t>
  </si>
  <si>
    <t xml:space="preserve">Key Ratios  /  Tỷ lệ then chốt</t>
  </si>
  <si>
    <t xml:space="preserve">→ LTV / CAC Ratio</t>
  </si>
  <si>
    <t xml:space="preserve">🎯 Target &gt; 3.0x (tiêu chuẩn vàng VC)</t>
  </si>
  <si>
    <t xml:space="preserve">→ CAC Payback Period</t>
  </si>
  <si>
    <t xml:space="preserve">🎯 Target &lt; 12 tháng (early-stage)</t>
  </si>
  <si>
    <t xml:space="preserve">Verdict  /  Kết luận</t>
  </si>
  <si>
    <t xml:space="preserve">Unit Economics Status</t>
  </si>
  <si>
    <t xml:space="preserve">Tab 3 — P&amp;L &amp; ROI  /  24 tháng</t>
  </si>
  <si>
    <t xml:space="preserve">Chọn scenario:</t>
  </si>
  <si>
    <t xml:space="preserve">Đổi scenario tại đây để toàn bộ P&amp;L tự cập nhật</t>
  </si>
  <si>
    <t xml:space="preserve">Active scenario index:</t>
  </si>
  <si>
    <t xml:space="preserve">Selected scenario inputs ↓</t>
  </si>
  <si>
    <t xml:space="preserve">ARPU / khách / tháng</t>
  </si>
  <si>
    <t xml:space="preserve">Adoption rate</t>
  </si>
  <si>
    <t xml:space="preserve">TAM (số khách tiềm năng)</t>
  </si>
  <si>
    <t xml:space="preserve">Total COGS / khách</t>
  </si>
  <si>
    <t xml:space="preserve">Monthly Churn Rate</t>
  </si>
  <si>
    <t xml:space="preserve">CAC / khách mới</t>
  </si>
  <si>
    <t xml:space="preserve">Fixed Cost / tháng</t>
  </si>
  <si>
    <t xml:space="preserve">Initial Investment</t>
  </si>
  <si>
    <t xml:space="preserve">Initial Cash</t>
  </si>
  <si>
    <t xml:space="preserve">Monthly Discount Rate</t>
  </si>
  <si>
    <t xml:space="preserve">P&amp;L Projection — 24 months  (VND)</t>
  </si>
  <si>
    <t>Month</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</si>
  <si>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</si>
  <si>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</si>
  <si>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</si>
  <si>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</si>
  <si>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</si>
  <si>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</si>
  <si>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</si>
  <si>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</si>
  <si>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</si>
  <si>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</si>
  <si>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</si>
  <si>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</si>
  <si>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</si>
  <si>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</si>
  <si>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</si>
  <si>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</si>
  <si>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</si>
  <si>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</si>
  <si>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</si>
  <si>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</si>
  <si>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</si>
  <si>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</si>
  <si>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</si>
  <si>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</si>
  <si>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TOTAL</t>
  </si>
  <si>
    <t xml:space="preserve">New customers acquired</t>
  </si>
  <si>
    <t xml:space="preserve">Active customers (end of month)</t>
  </si>
  <si>
    <t>Revenue</t>
  </si>
  <si>
    <t xml:space="preserve">COGS (variable cost)</t>
  </si>
  <si>
    <t xml:space="preserve">Gross Profit</t>
  </si>
  <si>
    <t xml:space="preserve">Marketing/Acquisition cost</t>
  </si>
  <si>
    <t xml:space="preserve">Fixed cost (salaries + ops)</t>
  </si>
  <si>
    <t xml:space="preserve">Operating Profit (EBITDA)</t>
  </si>
  <si>
    <t xml:space="preserve">Cash Flow (after investment)</t>
  </si>
  <si>
    <t xml:space="preserve">Cash Position (cumulative)</t>
  </si>
  <si>
    <t xml:space="preserve">ROI Metrics  /  Chỉ số đánh giá tổng thể dự án</t>
  </si>
  <si>
    <t xml:space="preserve">NPV (Net Present Value, mil VND)</t>
  </si>
  <si>
    <t xml:space="preserve">IRR (Annual)</t>
  </si>
  <si>
    <t xml:space="preserve">Project Payback (months)</t>
  </si>
  <si>
    <t xml:space="preserve">Runway (months until cash = 0)</t>
  </si>
  <si>
    <t xml:space="preserve">(helper: cumulative cash flow)</t>
  </si>
  <si>
    <t xml:space="preserve">Final Verdict  /  Có nên làm dự án này?</t>
  </si>
  <si>
    <t xml:space="preserve">Project Decision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</si>
</sst>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4">
    <numFmt numFmtId="164" formatCode="#,##0;\(#,##0\);\-"/>
    <numFmt numFmtId="165" formatCode="0.0%;\(0.0%\);\-"/>
    <numFmt numFmtId="166" formatCode="0.0&quot; tháng&quot;"/>
    <numFmt numFmtId="167" formatCode="0.00\x"/>
  </numFmts>
  <fonts count="18">
    <font>
      <sz val="11.000000"/>
      <color theme="1"/>
      <name val="Calibri"/>
    </font>
    <font>
      <sz val="10.000000"/>
      <name val="Arial"/>
    </font>
    <font>
      <b/>
      <sz val="16.000000"/>
      <color indexed="65"/>
      <name val="Arial"/>
    </font>
    <font>
      <i/>
      <sz val="9.000000"/>
      <color rgb="FF64748B"/>
      <name val="Arial"/>
    </font>
    <font>
      <b/>
      <sz val="11.000000"/>
      <color indexed="65"/>
      <name val="Arial"/>
    </font>
    <font>
      <b/>
      <sz val="10.000000"/>
      <name val="Arial"/>
    </font>
    <font>
      <b/>
      <sz val="10.000000"/>
      <color indexed="4"/>
      <name val="Arial"/>
    </font>
    <font>
      <i/>
      <sz val="10.000000"/>
      <color indexed="4"/>
      <name val="Arial"/>
    </font>
    <font>
      <sz val="10.000000"/>
      <color indexed="17"/>
      <name val="Arial"/>
    </font>
    <font>
      <b/>
      <sz val="11.000000"/>
      <name val="Arial"/>
    </font>
    <font>
      <b/>
      <sz val="11.000000"/>
      <color rgb="FF0F3460"/>
      <name val="Arial"/>
    </font>
    <font>
      <b/>
      <sz val="11.000000"/>
      <color indexed="4"/>
      <name val="Arial"/>
    </font>
    <font>
      <b/>
      <i/>
      <sz val="9.000000"/>
      <color rgb="FF0F3460"/>
      <name val="Arial"/>
    </font>
    <font>
      <i/>
      <sz val="9.000000"/>
      <color indexed="17"/>
      <name val="Arial"/>
    </font>
    <font>
      <b/>
      <sz val="9.000000"/>
      <name val="Arial"/>
    </font>
    <font>
      <sz val="9.000000"/>
      <name val="Arial"/>
    </font>
    <font>
      <i/>
      <sz val="8.000000"/>
      <color rgb="FF94A3B8"/>
      <name val="Arial"/>
    </font>
    <font>
      <b/>
      <sz val="12.000000"/>
      <name val="Arial"/>
    </font>
  </fonts>
  <fills count="9">
    <fill>
      <patternFill patternType="none"/>
    </fill>
    <fill>
      <patternFill patternType="gray125"/>
    </fill>
    <fill>
      <patternFill patternType="solid">
        <fgColor rgb="FF1A1A2E"/>
        <bgColor rgb="FF0F3460"/>
      </patternFill>
    </fill>
    <fill>
      <patternFill patternType="solid">
        <fgColor rgb="FF0F3460"/>
        <bgColor rgb="FF1A1A2E"/>
      </patternFill>
    </fill>
    <fill>
      <patternFill patternType="solid">
        <fgColor rgb="FFDCFCE7"/>
        <bgColor indexed="42"/>
      </patternFill>
    </fill>
    <fill>
      <patternFill patternType="solid">
        <fgColor rgb="FFF1F5F9"/>
        <bgColor indexed="65"/>
      </patternFill>
    </fill>
    <fill>
      <patternFill patternType="solid">
        <fgColor rgb="FFFEE2E2"/>
        <bgColor rgb="FFFEF3C7"/>
      </patternFill>
    </fill>
    <fill>
      <patternFill patternType="solid">
        <fgColor indexed="5"/>
        <bgColor indexed="5"/>
      </patternFill>
    </fill>
    <fill>
      <patternFill patternType="solid">
        <fgColor rgb="FFFEF3C7"/>
        <bgColor rgb="FFFEE2E2"/>
      </patternFill>
    </fill>
  </fills>
  <borders count="4">
    <border>
      <left style="none"/>
      <right style="none"/>
      <top style="none"/>
      <bottom style="none"/>
      <diagonal style="none"/>
    </border>
    <border>
      <left style="thin">
        <color rgb="FFCBD5E1"/>
      </left>
      <right style="thin">
        <color rgb="FFCBD5E1"/>
      </right>
      <top style="thin">
        <color rgb="FFCBD5E1"/>
      </top>
      <bottom style="thin">
        <color rgb="FFCBD5E1"/>
      </bottom>
      <diagonal style="none"/>
    </border>
    <border>
      <left style="none"/>
      <right style="none"/>
      <top style="medium">
        <color rgb="FF64748B"/>
      </top>
      <bottom style="none"/>
      <diagonal style="none"/>
    </border>
    <border>
      <left style="thin">
        <color rgb="FFCBD5E1"/>
      </left>
      <right style="none"/>
      <top style="thin">
        <color rgb="FFCBD5E1"/>
      </top>
      <bottom style="none"/>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54">
    <xf fontId="0" fillId="0" borderId="0" numFmtId="0" xfId="0" applyProtection="0">
      <protection hidden="0" locked="1"/>
    </xf>
    <xf fontId="0" fillId="0" borderId="0" numFmtId="0" xfId="0" applyProtection="0">
      <protection hidden="0" locked="1"/>
    </xf>
    <xf fontId="2" fillId="2" borderId="0" numFmtId="0" xfId="0" applyFont="1" applyFill="1" applyAlignment="1" applyProtection="0">
      <alignment horizontal="left" indent="1" vertical="center"/>
      <protection hidden="0" locked="1"/>
    </xf>
    <xf fontId="3" fillId="0" borderId="0" numFmtId="0" xfId="0" applyFont="1" applyAlignment="1" applyProtection="0">
      <alignment horizontal="left" vertical="center" wrapText="1"/>
      <protection hidden="0" locked="1"/>
    </xf>
    <xf fontId="4" fillId="3" borderId="0" numFmtId="0" xfId="0" applyFont="1" applyFill="1" applyAlignment="1" applyProtection="0">
      <alignment horizontal="left" indent="1" vertical="center"/>
      <protection hidden="0" locked="1"/>
    </xf>
    <xf fontId="5" fillId="4" borderId="0" numFmtId="0" xfId="0" applyFont="1" applyFill="1" applyAlignment="1" applyProtection="0">
      <alignment horizontal="center"/>
      <protection hidden="0" locked="1"/>
    </xf>
    <xf fontId="5" fillId="5" borderId="0" numFmtId="0" xfId="0" applyFont="1" applyFill="1" applyAlignment="1" applyProtection="0">
      <alignment horizontal="center"/>
      <protection hidden="0" locked="1"/>
    </xf>
    <xf fontId="5" fillId="6" borderId="0" numFmtId="0" xfId="0" applyFont="1" applyFill="1" applyAlignment="1" applyProtection="0">
      <alignment horizontal="center"/>
      <protection hidden="0" locked="1"/>
    </xf>
    <xf fontId="5" fillId="0" borderId="0" numFmtId="0" xfId="0" applyFont="1" applyAlignment="1" applyProtection="0">
      <alignment horizontal="center"/>
      <protection hidden="0" locked="1"/>
    </xf>
    <xf fontId="5" fillId="0" borderId="0" numFmtId="0" xfId="0" applyFont="1" applyAlignment="1" applyProtection="0">
      <alignment horizontal="left" vertical="center"/>
      <protection hidden="0" locked="1"/>
    </xf>
    <xf fontId="1" fillId="0" borderId="0" numFmtId="0" xfId="0" applyFont="1" applyAlignment="1" applyProtection="0">
      <alignment horizontal="left" indent="1" vertical="center"/>
      <protection hidden="0" locked="1"/>
    </xf>
    <xf fontId="6" fillId="7" borderId="1" numFmtId="164" xfId="0" applyNumberFormat="1" applyFont="1" applyFill="1" applyBorder="1" applyAlignment="1" applyProtection="0">
      <alignment horizontal="right" vertical="center"/>
      <protection hidden="0" locked="1"/>
    </xf>
    <xf fontId="1" fillId="0" borderId="0" numFmtId="0" xfId="0" applyFont="1" applyAlignment="1" applyProtection="0">
      <alignment horizontal="center"/>
      <protection hidden="0" locked="1"/>
    </xf>
    <xf fontId="6" fillId="7" borderId="1" numFmtId="165" xfId="0" applyNumberFormat="1" applyFont="1" applyFill="1" applyBorder="1" applyAlignment="1" applyProtection="0">
      <alignment horizontal="right" vertical="center"/>
      <protection hidden="0" locked="1"/>
    </xf>
    <xf fontId="6" fillId="7" borderId="1" numFmtId="10" xfId="0" applyNumberFormat="1" applyFont="1" applyFill="1" applyBorder="1" applyAlignment="1" applyProtection="0">
      <alignment horizontal="right" vertical="center"/>
      <protection hidden="0" locked="1"/>
    </xf>
    <xf fontId="5" fillId="5" borderId="2" numFmtId="0" xfId="0" applyFont="1" applyFill="1" applyBorder="1" applyAlignment="1" applyProtection="0">
      <alignment horizontal="left" vertical="center"/>
      <protection hidden="0" locked="1"/>
    </xf>
    <xf fontId="5" fillId="5" borderId="2" numFmtId="164" xfId="0" applyNumberFormat="1" applyFont="1" applyFill="1" applyBorder="1" applyAlignment="1" applyProtection="0">
      <alignment horizontal="right" vertical="center"/>
      <protection hidden="0" locked="1"/>
    </xf>
    <xf fontId="0" fillId="5" borderId="2" numFmtId="0" xfId="0" applyFill="1" applyBorder="1" applyProtection="0">
      <protection hidden="0" locked="1"/>
    </xf>
    <xf fontId="6" fillId="7" borderId="1" numFmtId="9" xfId="0" applyNumberFormat="1" applyFont="1" applyFill="1" applyBorder="1" applyAlignment="1" applyProtection="0">
      <alignment horizontal="right" vertical="center"/>
      <protection hidden="0" locked="1"/>
    </xf>
    <xf fontId="5" fillId="5" borderId="0" numFmtId="0" xfId="0" applyFont="1" applyFill="1" applyAlignment="1" applyProtection="0">
      <alignment horizontal="left" vertical="center"/>
      <protection hidden="0" locked="1"/>
    </xf>
    <xf fontId="5" fillId="5" borderId="0" numFmtId="166" xfId="0" applyNumberFormat="1" applyFont="1" applyFill="1" applyAlignment="1" applyProtection="0">
      <alignment horizontal="right" vertical="center"/>
      <protection hidden="0" locked="1"/>
    </xf>
    <xf fontId="0" fillId="5" borderId="0" numFmtId="0" xfId="0" applyFill="1" applyProtection="0">
      <protection hidden="0" locked="1"/>
    </xf>
    <xf fontId="5" fillId="5" borderId="0" numFmtId="164" xfId="0" applyNumberFormat="1" applyFont="1" applyFill="1" applyAlignment="1" applyProtection="0">
      <alignment horizontal="right" vertical="center"/>
      <protection hidden="0" locked="1"/>
    </xf>
    <xf fontId="5" fillId="5" borderId="0" numFmtId="165" xfId="0" applyNumberFormat="1" applyFont="1" applyFill="1" applyAlignment="1" applyProtection="0">
      <alignment horizontal="right" vertical="center"/>
      <protection hidden="0" locked="1"/>
    </xf>
    <xf fontId="7" fillId="7" borderId="3" numFmtId="0" xfId="0" applyFont="1" applyFill="1" applyBorder="1" applyAlignment="1" applyProtection="0">
      <alignment wrapText="1"/>
      <protection hidden="0" locked="1"/>
    </xf>
    <xf fontId="8" fillId="0" borderId="0" numFmtId="164" xfId="0" applyNumberFormat="1" applyFont="1" applyAlignment="1" applyProtection="0">
      <alignment horizontal="right" vertical="center"/>
      <protection hidden="0" locked="1"/>
    </xf>
    <xf fontId="8" fillId="0" borderId="0" numFmtId="166" xfId="0" applyNumberFormat="1" applyFont="1" applyAlignment="1" applyProtection="0">
      <alignment horizontal="right" vertical="center"/>
      <protection hidden="0" locked="1"/>
    </xf>
    <xf fontId="5" fillId="5" borderId="0" numFmtId="167" xfId="0" applyNumberFormat="1" applyFont="1" applyFill="1" applyAlignment="1" applyProtection="0">
      <alignment horizontal="right" vertical="center"/>
      <protection hidden="0" locked="1"/>
    </xf>
    <xf fontId="9" fillId="0" borderId="0" numFmtId="0" xfId="0" applyFont="1" applyAlignment="1" applyProtection="0">
      <alignment horizontal="center" vertical="center"/>
      <protection hidden="0" locked="1"/>
    </xf>
    <xf fontId="10" fillId="0" borderId="0" numFmtId="0" xfId="0" applyFont="1" applyAlignment="1" applyProtection="0">
      <alignment horizontal="right" vertical="center"/>
      <protection hidden="0" locked="1"/>
    </xf>
    <xf fontId="11" fillId="7" borderId="1" numFmtId="0" xfId="0" applyFont="1" applyFill="1" applyBorder="1" applyAlignment="1" applyProtection="0">
      <alignment horizontal="center" vertical="center"/>
      <protection hidden="0" locked="1"/>
    </xf>
    <xf fontId="3" fillId="0" borderId="0" numFmtId="0" xfId="0" applyFont="1" applyProtection="0">
      <protection hidden="0" locked="1"/>
    </xf>
    <xf fontId="12" fillId="0" borderId="0" numFmtId="0" xfId="0" applyFont="1" applyProtection="0">
      <protection hidden="0" locked="1"/>
    </xf>
    <xf fontId="3" fillId="0" borderId="0" numFmtId="0" xfId="0" applyFont="1" applyAlignment="1" applyProtection="0">
      <alignment horizontal="left" indent="1" vertical="center"/>
      <protection hidden="0" locked="1"/>
    </xf>
    <xf fontId="13" fillId="0" borderId="0" numFmtId="164" xfId="0" applyNumberFormat="1" applyFont="1" applyAlignment="1" applyProtection="0">
      <alignment horizontal="right" vertical="center"/>
      <protection hidden="0" locked="1"/>
    </xf>
    <xf fontId="13" fillId="0" borderId="0" numFmtId="165" xfId="0" applyNumberFormat="1" applyFont="1" applyAlignment="1" applyProtection="0">
      <alignment horizontal="right" vertical="center"/>
      <protection hidden="0" locked="1"/>
    </xf>
    <xf fontId="5" fillId="5" borderId="0" numFmtId="0" xfId="0" applyFont="1" applyFill="1" applyProtection="0">
      <protection hidden="0" locked="1"/>
    </xf>
    <xf fontId="14" fillId="5" borderId="0" numFmtId="0" xfId="0" applyFont="1" applyFill="1" applyAlignment="1" applyProtection="0">
      <alignment horizontal="center"/>
      <protection hidden="0" locked="1"/>
    </xf>
    <xf fontId="15" fillId="0" borderId="0" numFmtId="164" xfId="0" applyNumberFormat="1" applyFont="1" applyAlignment="1" applyProtection="0">
      <alignment horizontal="right"/>
      <protection hidden="0" locked="1"/>
    </xf>
    <xf fontId="5" fillId="0" borderId="0" numFmtId="164" xfId="0" applyNumberFormat="1" applyFont="1" applyProtection="0">
      <protection hidden="0" locked="1"/>
    </xf>
    <xf fontId="5" fillId="4" borderId="0" numFmtId="0" xfId="0" applyFont="1" applyFill="1" applyAlignment="1" applyProtection="0">
      <alignment horizontal="left" vertical="center"/>
      <protection hidden="0" locked="1"/>
    </xf>
    <xf fontId="14" fillId="4" borderId="0" numFmtId="164" xfId="0" applyNumberFormat="1" applyFont="1" applyFill="1" applyAlignment="1" applyProtection="0">
      <alignment horizontal="right"/>
      <protection hidden="0" locked="1"/>
    </xf>
    <xf fontId="5" fillId="4" borderId="0" numFmtId="164" xfId="0" applyNumberFormat="1" applyFont="1" applyFill="1" applyProtection="0">
      <protection hidden="0" locked="1"/>
    </xf>
    <xf fontId="14" fillId="0" borderId="0" numFmtId="164" xfId="0" applyNumberFormat="1" applyFont="1" applyAlignment="1" applyProtection="0">
      <alignment horizontal="right"/>
      <protection hidden="0" locked="1"/>
    </xf>
    <xf fontId="14" fillId="5" borderId="0" numFmtId="164" xfId="0" applyNumberFormat="1" applyFont="1" applyFill="1" applyAlignment="1" applyProtection="0">
      <alignment horizontal="right"/>
      <protection hidden="0" locked="1"/>
    </xf>
    <xf fontId="5" fillId="5" borderId="0" numFmtId="164" xfId="0" applyNumberFormat="1" applyFont="1" applyFill="1" applyProtection="0">
      <protection hidden="0" locked="1"/>
    </xf>
    <xf fontId="5" fillId="8" borderId="0" numFmtId="0" xfId="0" applyFont="1" applyFill="1" applyAlignment="1" applyProtection="0">
      <alignment horizontal="left" vertical="center"/>
      <protection hidden="0" locked="1"/>
    </xf>
    <xf fontId="14" fillId="8" borderId="0" numFmtId="164" xfId="0" applyNumberFormat="1" applyFont="1" applyFill="1" applyAlignment="1" applyProtection="0">
      <alignment horizontal="right"/>
      <protection hidden="0" locked="1"/>
    </xf>
    <xf fontId="9" fillId="0" borderId="0" numFmtId="164" xfId="0" applyNumberFormat="1" applyFont="1" applyAlignment="1" applyProtection="0">
      <alignment horizontal="right"/>
      <protection hidden="0" locked="1"/>
    </xf>
    <xf fontId="9" fillId="0" borderId="0" numFmtId="165" xfId="0" applyNumberFormat="1" applyFont="1" applyAlignment="1" applyProtection="0">
      <alignment horizontal="right"/>
      <protection hidden="0" locked="1"/>
    </xf>
    <xf fontId="9" fillId="0" borderId="0" numFmtId="0" xfId="0" applyFont="1" applyAlignment="1" applyProtection="0">
      <alignment horizontal="right"/>
      <protection hidden="0" locked="1"/>
    </xf>
    <xf fontId="16" fillId="0" borderId="0" numFmtId="0" xfId="0" applyFont="1" applyProtection="0">
      <protection hidden="0" locked="1"/>
    </xf>
    <xf fontId="16" fillId="0" borderId="0" numFmtId="164" xfId="0" applyNumberFormat="1" applyFont="1" applyAlignment="1" applyProtection="0">
      <alignment horizontal="right"/>
      <protection hidden="0" locked="1"/>
    </xf>
    <xf fontId="17" fillId="0" borderId="0" numFmtId="0" xfId="0" applyFont="1" applyAlignment="1" applyProtection="0">
      <alignment horizontal="left" vertical="center"/>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pane ySplit="5" topLeftCell="A6" activePane="bottomLeft" state="frozen"/>
      <selection activeCell="A1" activeCellId="0" sqref="A1"/>
    </sheetView>
  </sheetViews>
  <sheetFormatPr defaultColWidth="8.6796875" defaultRowHeight="14.25"/>
  <cols>
    <col customWidth="1" min="1" max="1" style="1" width="3"/>
    <col customWidth="1" min="2" max="2" style="1" width="38"/>
    <col customWidth="1" min="3" max="5" style="1" width="16"/>
    <col customWidth="1" min="6" max="6" style="1" width="14"/>
    <col customWidth="1" min="7" max="7" style="1" width="50"/>
  </cols>
  <sheetData>
    <row r="2" ht="30" customHeight="1">
      <c r="B2" s="2" t="s">
        <v>0</v>
      </c>
      <c r="C2" s="2"/>
      <c r="D2" s="2"/>
      <c r="E2" s="2"/>
      <c r="F2" s="2"/>
    </row>
    <row r="3" ht="19.5" customHeight="1">
      <c r="B3" s="3" t="s">
        <v>1</v>
      </c>
      <c r="C3" s="3"/>
      <c r="D3" s="3"/>
      <c r="E3" s="3"/>
      <c r="F3" s="3"/>
      <c r="G3" s="3"/>
    </row>
    <row r="5" ht="15" customHeight="1">
      <c r="B5" s="4" t="s">
        <v>2</v>
      </c>
      <c r="C5" s="4"/>
      <c r="D5" s="4"/>
      <c r="E5" s="4"/>
      <c r="F5" s="4"/>
    </row>
    <row r="6" ht="15" customHeight="1">
      <c r="C6" s="5" t="s">
        <v>3</v>
      </c>
      <c r="D6" s="6" t="s">
        <v>4</v>
      </c>
      <c r="E6" s="7" t="s">
        <v>5</v>
      </c>
      <c r="F6" s="8" t="s">
        <v>6</v>
      </c>
      <c r="G6" s="9" t="s">
        <v>7</v>
      </c>
    </row>
    <row r="7" ht="15" customHeight="1">
      <c r="B7" s="10" t="s">
        <v>8</v>
      </c>
      <c r="C7" s="11">
        <v>800000</v>
      </c>
      <c r="D7" s="11">
        <v>500000</v>
      </c>
      <c r="E7" s="11">
        <v>300000</v>
      </c>
      <c r="F7" s="12" t="s">
        <v>9</v>
      </c>
      <c r="G7" s="3" t="s">
        <v>10</v>
      </c>
    </row>
    <row r="8" ht="15" customHeight="1">
      <c r="B8" s="10" t="s">
        <v>11</v>
      </c>
      <c r="C8" s="13">
        <v>0.0080000000000000002</v>
      </c>
      <c r="D8" s="14">
        <v>0.0050000000000000001</v>
      </c>
      <c r="E8" s="14">
        <v>0.001</v>
      </c>
      <c r="F8" s="12" t="s">
        <v>12</v>
      </c>
      <c r="G8" s="3" t="s">
        <v>13</v>
      </c>
    </row>
    <row r="9" ht="15" customHeight="1">
      <c r="B9" s="10" t="s">
        <v>14</v>
      </c>
      <c r="C9" s="11">
        <v>135000</v>
      </c>
      <c r="D9" s="11">
        <v>135000</v>
      </c>
      <c r="E9" s="11">
        <v>135000</v>
      </c>
      <c r="F9" s="12" t="s">
        <v>15</v>
      </c>
      <c r="G9" s="3" t="s">
        <v>16</v>
      </c>
    </row>
    <row r="11" ht="15" customHeight="1">
      <c r="B11" s="4" t="s">
        <v>17</v>
      </c>
      <c r="C11" s="4"/>
      <c r="D11" s="4"/>
      <c r="E11" s="4"/>
      <c r="F11" s="4"/>
    </row>
    <row r="12" ht="15" customHeight="1">
      <c r="B12" s="10" t="s">
        <v>18</v>
      </c>
      <c r="C12" s="11">
        <v>15000</v>
      </c>
      <c r="D12" s="11">
        <v>25000</v>
      </c>
      <c r="E12" s="11">
        <v>40000</v>
      </c>
      <c r="F12" s="12" t="s">
        <v>9</v>
      </c>
      <c r="G12" s="3" t="s">
        <v>19</v>
      </c>
    </row>
    <row r="13" ht="15" customHeight="1">
      <c r="B13" s="10" t="s">
        <v>20</v>
      </c>
      <c r="C13" s="11">
        <v>10000</v>
      </c>
      <c r="D13" s="11">
        <v>15000</v>
      </c>
      <c r="E13" s="11">
        <v>30000</v>
      </c>
      <c r="F13" s="12" t="s">
        <v>9</v>
      </c>
      <c r="G13" s="3" t="s">
        <v>21</v>
      </c>
    </row>
    <row r="14" ht="15" customHeight="1">
      <c r="B14" s="10" t="s">
        <v>22</v>
      </c>
      <c r="C14" s="11">
        <v>8000</v>
      </c>
      <c r="D14" s="11">
        <v>10000</v>
      </c>
      <c r="E14" s="11">
        <v>15000</v>
      </c>
      <c r="F14" s="12" t="s">
        <v>9</v>
      </c>
      <c r="G14" s="3" t="s">
        <v>23</v>
      </c>
    </row>
    <row r="15" ht="15" customHeight="1">
      <c r="B15" s="15" t="s">
        <v>24</v>
      </c>
      <c r="C15" s="16">
        <f>C12+C13+C14</f>
        <v>33000</v>
      </c>
      <c r="D15" s="16">
        <f>D12+D13+D14</f>
        <v>50000</v>
      </c>
      <c r="E15" s="16">
        <f>E12+E13+E14</f>
        <v>85000</v>
      </c>
      <c r="F15" s="17"/>
    </row>
    <row r="17" ht="15" customHeight="1">
      <c r="B17" s="4" t="s">
        <v>25</v>
      </c>
      <c r="C17" s="4"/>
      <c r="D17" s="4"/>
      <c r="E17" s="4"/>
      <c r="F17" s="4"/>
    </row>
    <row r="18" ht="15" customHeight="1">
      <c r="B18" s="10" t="s">
        <v>26</v>
      </c>
      <c r="C18" s="13">
        <v>0.02</v>
      </c>
      <c r="D18" s="18">
        <v>0.050000000000000003</v>
      </c>
      <c r="E18" s="18">
        <v>0.080000000000000002</v>
      </c>
      <c r="F18" s="12" t="s">
        <v>27</v>
      </c>
      <c r="G18" s="3" t="s">
        <v>28</v>
      </c>
    </row>
    <row r="19" ht="15" customHeight="1">
      <c r="B19" s="19" t="s">
        <v>29</v>
      </c>
      <c r="C19" s="20">
        <f>IFERROR(1/C18,0)</f>
        <v>50</v>
      </c>
      <c r="D19" s="20">
        <f>IFERROR(1/D18,0)</f>
        <v>20</v>
      </c>
      <c r="E19" s="20">
        <f>IFERROR(1/E18,0)</f>
        <v>12.5</v>
      </c>
      <c r="F19" s="21"/>
    </row>
    <row r="21" ht="15" customHeight="1">
      <c r="B21" s="4" t="s">
        <v>30</v>
      </c>
      <c r="C21" s="4"/>
      <c r="D21" s="4"/>
      <c r="E21" s="4"/>
      <c r="F21" s="4"/>
    </row>
    <row r="22" ht="15" customHeight="1">
      <c r="B22" s="10" t="s">
        <v>31</v>
      </c>
      <c r="C22" s="11">
        <v>150000</v>
      </c>
      <c r="D22" s="11">
        <v>300000</v>
      </c>
      <c r="E22" s="11">
        <v>600000</v>
      </c>
      <c r="F22" s="12" t="s">
        <v>9</v>
      </c>
      <c r="G22" s="3" t="s">
        <v>32</v>
      </c>
    </row>
    <row r="24" ht="15" customHeight="1">
      <c r="B24" s="4" t="s">
        <v>33</v>
      </c>
      <c r="C24" s="4"/>
      <c r="D24" s="4"/>
      <c r="E24" s="4"/>
      <c r="F24" s="4"/>
    </row>
    <row r="25" ht="15" customHeight="1">
      <c r="B25" s="10" t="s">
        <v>34</v>
      </c>
      <c r="C25" s="11">
        <v>40000000</v>
      </c>
      <c r="D25" s="11">
        <v>40000000</v>
      </c>
      <c r="E25" s="11">
        <v>50000000</v>
      </c>
      <c r="F25" s="12" t="s">
        <v>35</v>
      </c>
      <c r="G25" s="3" t="s">
        <v>36</v>
      </c>
    </row>
    <row r="26" ht="15" customHeight="1">
      <c r="B26" s="10" t="s">
        <v>37</v>
      </c>
      <c r="C26" s="11">
        <v>10000000</v>
      </c>
      <c r="D26" s="11">
        <v>10000000</v>
      </c>
      <c r="E26" s="11">
        <v>15000000</v>
      </c>
      <c r="F26" s="12" t="s">
        <v>35</v>
      </c>
    </row>
    <row r="27" ht="15" customHeight="1">
      <c r="B27" s="10" t="s">
        <v>38</v>
      </c>
      <c r="C27" s="11">
        <v>40000000</v>
      </c>
      <c r="D27" s="11">
        <v>60000000</v>
      </c>
      <c r="E27" s="11">
        <v>90000000</v>
      </c>
      <c r="F27" s="12" t="s">
        <v>35</v>
      </c>
    </row>
    <row r="28" ht="15" customHeight="1">
      <c r="B28" s="19" t="s">
        <v>39</v>
      </c>
      <c r="C28" s="22">
        <f>SUM(C25:C27)</f>
        <v>90000000</v>
      </c>
      <c r="D28" s="22">
        <f>SUM(D25:D27)</f>
        <v>110000000</v>
      </c>
      <c r="E28" s="22">
        <f>SUM(E25:E27)</f>
        <v>155000000</v>
      </c>
      <c r="F28" s="21"/>
    </row>
    <row r="30" ht="15" customHeight="1">
      <c r="B30" s="4" t="s">
        <v>40</v>
      </c>
      <c r="C30" s="4"/>
      <c r="D30" s="4"/>
      <c r="E30" s="4"/>
      <c r="F30" s="4"/>
    </row>
    <row r="31" ht="15" customHeight="1">
      <c r="B31" s="10" t="s">
        <v>41</v>
      </c>
      <c r="C31" s="11">
        <v>500000000</v>
      </c>
      <c r="D31" s="11">
        <v>500000000</v>
      </c>
      <c r="E31" s="11">
        <v>500000000</v>
      </c>
      <c r="F31" s="12" t="s">
        <v>9</v>
      </c>
      <c r="G31" s="3" t="s">
        <v>42</v>
      </c>
    </row>
    <row r="32" ht="15" customHeight="1">
      <c r="B32" s="10" t="s">
        <v>43</v>
      </c>
      <c r="C32" s="11">
        <v>1500000000</v>
      </c>
      <c r="D32" s="11">
        <v>1500000000</v>
      </c>
      <c r="E32" s="11">
        <v>1500000000</v>
      </c>
      <c r="F32" s="12" t="s">
        <v>9</v>
      </c>
      <c r="G32" s="3" t="s">
        <v>44</v>
      </c>
    </row>
    <row r="34" ht="15" customHeight="1">
      <c r="B34" s="4" t="s">
        <v>45</v>
      </c>
      <c r="C34" s="4"/>
      <c r="D34" s="4"/>
      <c r="E34" s="4"/>
      <c r="F34" s="4"/>
    </row>
    <row r="35" ht="15" customHeight="1">
      <c r="B35" s="10" t="s">
        <v>46</v>
      </c>
      <c r="C35" s="13">
        <v>0.20000000000000001</v>
      </c>
      <c r="D35" s="13">
        <v>0.20000000000000001</v>
      </c>
      <c r="E35" s="13">
        <v>0.20000000000000001</v>
      </c>
      <c r="F35" s="12" t="s">
        <v>47</v>
      </c>
      <c r="G35" s="3" t="s">
        <v>48</v>
      </c>
    </row>
    <row r="36" ht="15" customHeight="1">
      <c r="B36" s="19" t="s">
        <v>49</v>
      </c>
      <c r="C36" s="23">
        <f>(1+C35)^(1/12)-1</f>
        <v>0.015309470499731199</v>
      </c>
      <c r="D36" s="23">
        <f>(1+D35)^(1/12)-1</f>
        <v>0.015309470499731199</v>
      </c>
      <c r="E36" s="23">
        <f>(1+E35)^(1/12)-1</f>
        <v>0.015309470499731199</v>
      </c>
      <c r="F36" s="21"/>
    </row>
    <row r="38" ht="15" customHeight="1">
      <c r="B38" s="4" t="s">
        <v>50</v>
      </c>
      <c r="C38" s="4"/>
      <c r="D38" s="4"/>
      <c r="E38" s="4"/>
      <c r="F38" s="4"/>
    </row>
    <row r="39" ht="24.75" customHeight="1">
      <c r="B39" s="24" t="s">
        <v>51</v>
      </c>
      <c r="C39" s="24"/>
      <c r="D39" s="24"/>
      <c r="E39" s="24"/>
      <c r="F39" s="24"/>
    </row>
    <row r="40" ht="24.75" customHeight="1">
      <c r="B40" s="24"/>
      <c r="C40" s="24"/>
      <c r="D40" s="24"/>
      <c r="E40" s="24"/>
      <c r="F40" s="24"/>
    </row>
    <row r="41" ht="24.75" customHeight="1">
      <c r="B41" s="24"/>
      <c r="C41" s="24"/>
      <c r="D41" s="24"/>
      <c r="E41" s="24"/>
      <c r="F41" s="24"/>
    </row>
  </sheetData>
  <mergeCells count="11">
    <mergeCell ref="B2:F2"/>
    <mergeCell ref="B3:G3"/>
    <mergeCell ref="B5:F5"/>
    <mergeCell ref="B11:F11"/>
    <mergeCell ref="B17:F17"/>
    <mergeCell ref="B21:F21"/>
    <mergeCell ref="B24:F24"/>
    <mergeCell ref="B30:F30"/>
    <mergeCell ref="B34:F34"/>
    <mergeCell ref="B38:F38"/>
    <mergeCell ref="B39:F41"/>
  </mergeCell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pane ySplit="5" topLeftCell="A6" activePane="bottomLeft" state="frozen"/>
      <selection activeCell="A1" activeCellId="0" sqref="A1"/>
    </sheetView>
  </sheetViews>
  <sheetFormatPr defaultColWidth="8.6796875" defaultRowHeight="15"/>
  <cols>
    <col customWidth="1" min="1" max="1" style="1" width="3"/>
    <col customWidth="1" min="2" max="2" style="1" width="38"/>
    <col customWidth="1" min="3" max="5" style="1" width="16"/>
    <col customWidth="1" min="6" max="6" style="1" width="14"/>
    <col customWidth="1" min="7" max="7" style="1" width="50"/>
  </cols>
  <sheetData>
    <row r="2" ht="30" customHeight="1">
      <c r="B2" s="2" t="s">
        <v>52</v>
      </c>
      <c r="C2" s="2"/>
      <c r="D2" s="2"/>
      <c r="E2" s="2"/>
      <c r="F2" s="2"/>
    </row>
    <row r="3" ht="19.5" customHeight="1">
      <c r="B3" s="3" t="s">
        <v>53</v>
      </c>
      <c r="C3" s="3"/>
      <c r="D3" s="3"/>
      <c r="E3" s="3"/>
      <c r="F3" s="3"/>
      <c r="G3" s="3"/>
    </row>
    <row r="5" ht="15" customHeight="1">
      <c r="B5" s="9" t="s">
        <v>54</v>
      </c>
      <c r="C5" s="5" t="s">
        <v>3</v>
      </c>
      <c r="D5" s="6" t="s">
        <v>4</v>
      </c>
      <c r="E5" s="7" t="s">
        <v>5</v>
      </c>
      <c r="F5" s="8" t="s">
        <v>6</v>
      </c>
      <c r="G5" s="9" t="s">
        <v>55</v>
      </c>
    </row>
    <row r="7" ht="15" customHeight="1">
      <c r="B7" s="4" t="s">
        <v>56</v>
      </c>
      <c r="C7" s="4"/>
      <c r="D7" s="4"/>
      <c r="E7" s="4"/>
      <c r="F7" s="4"/>
    </row>
    <row r="8" ht="15" customHeight="1">
      <c r="B8" s="10" t="s">
        <v>57</v>
      </c>
      <c r="C8" s="25">
        <f>'1. Assumptions'!C7</f>
        <v>800000</v>
      </c>
      <c r="D8" s="25">
        <f>'1. Assumptions'!D7</f>
        <v>500000</v>
      </c>
      <c r="E8" s="25">
        <f>'1. Assumptions'!E7</f>
        <v>300000</v>
      </c>
      <c r="F8" s="12" t="s">
        <v>9</v>
      </c>
      <c r="G8" s="3" t="s">
        <v>58</v>
      </c>
    </row>
    <row r="9" ht="15" customHeight="1">
      <c r="B9" s="10" t="s">
        <v>59</v>
      </c>
      <c r="C9" s="25">
        <f>'1. Assumptions'!C15</f>
        <v>33000</v>
      </c>
      <c r="D9" s="25">
        <f>'1. Assumptions'!D15</f>
        <v>50000</v>
      </c>
      <c r="E9" s="25">
        <f>'1. Assumptions'!E15</f>
        <v>85000</v>
      </c>
      <c r="F9" s="12" t="s">
        <v>9</v>
      </c>
    </row>
    <row r="10" ht="15" customHeight="1">
      <c r="B10" s="19" t="s">
        <v>60</v>
      </c>
      <c r="C10" s="22">
        <f>C8-C9</f>
        <v>767000</v>
      </c>
      <c r="D10" s="22">
        <f>D8-D9</f>
        <v>450000</v>
      </c>
      <c r="E10" s="22">
        <f>E8-E9</f>
        <v>215000</v>
      </c>
      <c r="F10" s="21"/>
    </row>
    <row r="11" ht="15" customHeight="1">
      <c r="B11" s="19" t="s">
        <v>61</v>
      </c>
      <c r="C11" s="23">
        <f>IFERROR(C10/C8,0)</f>
        <v>0.95874999999999999</v>
      </c>
      <c r="D11" s="23">
        <f>IFERROR(D10/D8,0)</f>
        <v>0.90000000000000002</v>
      </c>
      <c r="E11" s="23">
        <f>IFERROR(E10/E8,0)</f>
        <v>0.71666666666666667</v>
      </c>
      <c r="F11" s="21"/>
      <c r="G11" s="3" t="s">
        <v>62</v>
      </c>
    </row>
    <row r="13" ht="15" customHeight="1">
      <c r="B13" s="4" t="s">
        <v>63</v>
      </c>
      <c r="C13" s="4"/>
      <c r="D13" s="4"/>
      <c r="E13" s="4"/>
      <c r="F13" s="4"/>
    </row>
    <row r="14" ht="15" customHeight="1">
      <c r="B14" s="10" t="s">
        <v>64</v>
      </c>
      <c r="C14" s="26">
        <f>'1. Assumptions'!C19</f>
        <v>50</v>
      </c>
      <c r="D14" s="26">
        <f>'1. Assumptions'!D19</f>
        <v>20</v>
      </c>
      <c r="E14" s="26">
        <f>'1. Assumptions'!E19</f>
        <v>12.5</v>
      </c>
      <c r="F14" s="12" t="s">
        <v>65</v>
      </c>
    </row>
    <row r="15" ht="15" customHeight="1">
      <c r="B15" s="19" t="s">
        <v>66</v>
      </c>
      <c r="C15" s="22">
        <f>C10*C14</f>
        <v>38350000</v>
      </c>
      <c r="D15" s="22">
        <f>D10*D14</f>
        <v>9000000</v>
      </c>
      <c r="E15" s="22">
        <f>E10*E14</f>
        <v>2687500</v>
      </c>
      <c r="F15" s="21"/>
      <c r="G15" s="3" t="s">
        <v>67</v>
      </c>
    </row>
    <row r="17" ht="15" customHeight="1">
      <c r="B17" s="4" t="s">
        <v>68</v>
      </c>
      <c r="C17" s="4"/>
      <c r="D17" s="4"/>
      <c r="E17" s="4"/>
      <c r="F17" s="4"/>
    </row>
    <row r="18" ht="15" customHeight="1">
      <c r="B18" s="10" t="s">
        <v>69</v>
      </c>
      <c r="C18" s="25">
        <f>'1. Assumptions'!C22</f>
        <v>150000</v>
      </c>
      <c r="D18" s="25">
        <f>'1. Assumptions'!D22</f>
        <v>300000</v>
      </c>
      <c r="E18" s="25">
        <f>'1. Assumptions'!E22</f>
        <v>600000</v>
      </c>
      <c r="F18" s="12" t="s">
        <v>9</v>
      </c>
    </row>
    <row r="20" ht="15" customHeight="1">
      <c r="B20" s="4" t="s">
        <v>70</v>
      </c>
      <c r="C20" s="4"/>
      <c r="D20" s="4"/>
      <c r="E20" s="4"/>
      <c r="F20" s="4"/>
    </row>
    <row r="21" ht="15" customHeight="1">
      <c r="B21" s="19" t="s">
        <v>71</v>
      </c>
      <c r="C21" s="27">
        <f>IFERROR(C15/C18,0)</f>
        <v>255.66666666666666</v>
      </c>
      <c r="D21" s="27">
        <f>IFERROR(D15/D18,0)</f>
        <v>30</v>
      </c>
      <c r="E21" s="27">
        <f>IFERROR(E15/E18,0)</f>
        <v>4.479166666666667</v>
      </c>
      <c r="F21" s="21"/>
      <c r="G21" s="3" t="s">
        <v>72</v>
      </c>
    </row>
    <row r="22" ht="15" customHeight="1">
      <c r="B22" s="19" t="s">
        <v>73</v>
      </c>
      <c r="C22" s="20">
        <f>IFERROR(C18/C10,0)</f>
        <v>0.19556714471968709</v>
      </c>
      <c r="D22" s="20">
        <f>IFERROR(D18/D10,0)</f>
        <v>0.66666666666666663</v>
      </c>
      <c r="E22" s="20">
        <f>IFERROR(E18/E10,0)</f>
        <v>2.7906976744186047</v>
      </c>
      <c r="F22" s="21"/>
      <c r="G22" s="3" t="s">
        <v>74</v>
      </c>
    </row>
    <row r="24" ht="15" customHeight="1">
      <c r="B24" s="4" t="s">
        <v>75</v>
      </c>
      <c r="C24" s="4"/>
      <c r="D24" s="4"/>
      <c r="E24" s="4"/>
      <c r="F24" s="4"/>
    </row>
    <row r="25" ht="15" customHeight="1">
      <c r="B25" s="9" t="s">
        <v>76</v>
      </c>
      <c r="C25" s="28" t="str">
        <f>IF(AND(C21&gt;=3,C22&lt;=12),"✓ HEALTHY",IF(OR(C21&lt;1,C22&gt;18),"✗ UNHEALTHY","⚠ WATCH"))</f>
        <v xml:space="preserve">✓ HEALTHY</v>
      </c>
      <c r="D25" s="28" t="str">
        <f>IF(AND(D21&gt;=3,D22&lt;=12),"✓ HEALTHY",IF(OR(D21&lt;1,D22&gt;18),"✗ UNHEALTHY","⚠ WATCH"))</f>
        <v xml:space="preserve">✓ HEALTHY</v>
      </c>
      <c r="E25" s="28" t="str">
        <f>IF(AND(E21&gt;=3,E22&lt;=12),"✓ HEALTHY",IF(OR(E21&lt;1,E22&gt;18),"✗ UNHEALTHY","⚠ WATCH"))</f>
        <v xml:space="preserve">✓ HEALTHY</v>
      </c>
    </row>
  </sheetData>
  <mergeCells count="7">
    <mergeCell ref="B2:F2"/>
    <mergeCell ref="B3:G3"/>
    <mergeCell ref="B7:F7"/>
    <mergeCell ref="B13:F13"/>
    <mergeCell ref="B17:F17"/>
    <mergeCell ref="B20:F20"/>
    <mergeCell ref="B24:F24"/>
  </mergeCell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cellIs" priority="2" aboveAverage="0" operator="lessThan" rank="0" text="" id="{00CE001F-003B-4A85-B3C8-00A800710050}">
            <xm:f>1</xm:f>
            <x14:dxf>
              <font>
                <b/>
                <sz val="10.000000"/>
                <color rgb="FFDC2626"/>
                <name val="Arial"/>
              </font>
              <fill>
                <patternFill patternType="solid">
                  <fgColor rgb="FFFEE2E2"/>
                  <bgColor rgb="FFFEE2E2"/>
                </patternFill>
              </fill>
            </x14:dxf>
          </x14:cfRule>
          <xm:sqref>C21</xm:sqref>
        </x14:conditionalFormatting>
        <x14:conditionalFormatting xmlns:xm="http://schemas.microsoft.com/office/excel/2006/main">
          <x14:cfRule type="cellIs" priority="3" aboveAverage="0" operator="between" rank="0" text="" id="{00DB00BC-003C-4F14-BD1A-00EA00510001}">
            <xm:f>1</xm:f>
            <xm:f>3</xm:f>
            <x14:dxf>
              <font>
                <b/>
                <sz val="10.000000"/>
                <color rgb="FFD97706"/>
                <name val="Arial"/>
              </font>
              <fill>
                <patternFill patternType="solid">
                  <fgColor rgb="FFFEF3C7"/>
                  <bgColor rgb="FFFEF3C7"/>
                </patternFill>
              </fill>
            </x14:dxf>
          </x14:cfRule>
          <xm:sqref>C21</xm:sqref>
        </x14:conditionalFormatting>
        <x14:conditionalFormatting xmlns:xm="http://schemas.microsoft.com/office/excel/2006/main">
          <x14:cfRule type="cellIs" priority="4" aboveAverage="0" operator="greaterThanOrEqual" rank="0" text="" id="{00090063-00C0-449F-924F-00CF00FC00EC}">
            <xm:f>3</xm:f>
            <x14:dxf>
              <font>
                <b/>
                <sz val="10.000000"/>
                <color rgb="FF16A34A"/>
                <name val="Arial"/>
              </font>
              <fill>
                <patternFill patternType="solid">
                  <fgColor rgb="FFDCFCE7"/>
                  <bgColor rgb="FFDCFCE7"/>
                </patternFill>
              </fill>
            </x14:dxf>
          </x14:cfRule>
          <xm:sqref>C21</xm:sqref>
        </x14:conditionalFormatting>
        <x14:conditionalFormatting xmlns:xm="http://schemas.microsoft.com/office/excel/2006/main">
          <x14:cfRule type="cellIs" priority="5" aboveAverage="0" operator="lessThan" rank="0" text="" id="{006F00F5-0049-4E1E-91A8-005B00AF00A0}">
            <xm:f>1</xm:f>
            <x14:dxf>
              <font>
                <b/>
                <sz val="10.000000"/>
                <color rgb="FFDC2626"/>
                <name val="Arial"/>
              </font>
              <fill>
                <patternFill patternType="solid">
                  <fgColor rgb="FFFEE2E2"/>
                  <bgColor rgb="FFFEE2E2"/>
                </patternFill>
              </fill>
            </x14:dxf>
          </x14:cfRule>
          <xm:sqref>D21</xm:sqref>
        </x14:conditionalFormatting>
        <x14:conditionalFormatting xmlns:xm="http://schemas.microsoft.com/office/excel/2006/main">
          <x14:cfRule type="cellIs" priority="6" aboveAverage="0" operator="between" rank="0" text="" id="{00D9000D-00B0-40D8-AEDB-0090009D00BA}">
            <xm:f>1</xm:f>
            <xm:f>3</xm:f>
            <x14:dxf>
              <font>
                <b/>
                <sz val="10.000000"/>
                <color rgb="FFD97706"/>
                <name val="Arial"/>
              </font>
              <fill>
                <patternFill patternType="solid">
                  <fgColor rgb="FFFEF3C7"/>
                  <bgColor rgb="FFFEF3C7"/>
                </patternFill>
              </fill>
            </x14:dxf>
          </x14:cfRule>
          <xm:sqref>D21</xm:sqref>
        </x14:conditionalFormatting>
        <x14:conditionalFormatting xmlns:xm="http://schemas.microsoft.com/office/excel/2006/main">
          <x14:cfRule type="cellIs" priority="7" aboveAverage="0" operator="greaterThanOrEqual" rank="0" text="" id="{002000F1-0028-4734-9BBF-006C00F70001}">
            <xm:f>3</xm:f>
            <x14:dxf>
              <font>
                <b/>
                <sz val="10.000000"/>
                <color rgb="FF16A34A"/>
                <name val="Arial"/>
              </font>
              <fill>
                <patternFill patternType="solid">
                  <fgColor rgb="FFDCFCE7"/>
                  <bgColor rgb="FFDCFCE7"/>
                </patternFill>
              </fill>
            </x14:dxf>
          </x14:cfRule>
          <xm:sqref>D21</xm:sqref>
        </x14:conditionalFormatting>
        <x14:conditionalFormatting xmlns:xm="http://schemas.microsoft.com/office/excel/2006/main">
          <x14:cfRule type="cellIs" priority="8" aboveAverage="0" operator="lessThan" rank="0" text="" id="{002200CD-0006-4B81-A0E7-00A300C10025}">
            <xm:f>1</xm:f>
            <x14:dxf>
              <font>
                <b/>
                <sz val="10.000000"/>
                <color rgb="FFDC2626"/>
                <name val="Arial"/>
              </font>
              <fill>
                <patternFill patternType="solid">
                  <fgColor rgb="FFFEE2E2"/>
                  <bgColor rgb="FFFEE2E2"/>
                </patternFill>
              </fill>
            </x14:dxf>
          </x14:cfRule>
          <xm:sqref>E21</xm:sqref>
        </x14:conditionalFormatting>
        <x14:conditionalFormatting xmlns:xm="http://schemas.microsoft.com/office/excel/2006/main">
          <x14:cfRule type="cellIs" priority="9" aboveAverage="0" operator="between" rank="0" text="" id="{002C0043-009F-4772-92AB-00AA002900B5}">
            <xm:f>1</xm:f>
            <xm:f>3</xm:f>
            <x14:dxf>
              <font>
                <b/>
                <sz val="10.000000"/>
                <color rgb="FFD97706"/>
                <name val="Arial"/>
              </font>
              <fill>
                <patternFill patternType="solid">
                  <fgColor rgb="FFFEF3C7"/>
                  <bgColor rgb="FFFEF3C7"/>
                </patternFill>
              </fill>
            </x14:dxf>
          </x14:cfRule>
          <xm:sqref>E21</xm:sqref>
        </x14:conditionalFormatting>
        <x14:conditionalFormatting xmlns:xm="http://schemas.microsoft.com/office/excel/2006/main">
          <x14:cfRule type="cellIs" priority="10" aboveAverage="0" operator="greaterThanOrEqual" rank="0" text="" id="{008500EE-0078-4383-8395-006B00D3003C}">
            <xm:f>3</xm:f>
            <x14:dxf>
              <font>
                <b/>
                <sz val="10.000000"/>
                <color rgb="FF16A34A"/>
                <name val="Arial"/>
              </font>
              <fill>
                <patternFill patternType="solid">
                  <fgColor rgb="FFDCFCE7"/>
                  <bgColor rgb="FFDCFCE7"/>
                </patternFill>
              </fill>
            </x14:dxf>
          </x14:cfRule>
          <xm:sqref>E21</xm:sqref>
        </x14:conditionalFormatting>
        <x14:conditionalFormatting xmlns:xm="http://schemas.microsoft.com/office/excel/2006/main">
          <x14:cfRule type="cellIs" priority="11" aboveAverage="0" operator="greaterThan" rank="0" text="" id="{00A800C4-008C-4883-869E-009B005A0070}">
            <xm:f>18</xm:f>
            <x14:dxf>
              <font>
                <b/>
                <sz val="10.000000"/>
                <color rgb="FFDC2626"/>
                <name val="Arial"/>
              </font>
              <fill>
                <patternFill patternType="solid">
                  <fgColor rgb="FFFEE2E2"/>
                  <bgColor rgb="FFFEE2E2"/>
                </patternFill>
              </fill>
            </x14:dxf>
          </x14:cfRule>
          <xm:sqref>C22</xm:sqref>
        </x14:conditionalFormatting>
        <x14:conditionalFormatting xmlns:xm="http://schemas.microsoft.com/office/excel/2006/main">
          <x14:cfRule type="cellIs" priority="12" aboveAverage="0" operator="between" rank="0" text="" id="{002400F1-0039-4F6E-9684-006C0068004D}">
            <xm:f>12</xm:f>
            <xm:f>18</xm:f>
            <x14:dxf>
              <font>
                <b/>
                <sz val="10.000000"/>
                <color rgb="FFD97706"/>
                <name val="Arial"/>
              </font>
              <fill>
                <patternFill patternType="solid">
                  <fgColor rgb="FFFEF3C7"/>
                  <bgColor rgb="FFFEF3C7"/>
                </patternFill>
              </fill>
            </x14:dxf>
          </x14:cfRule>
          <xm:sqref>C22</xm:sqref>
        </x14:conditionalFormatting>
        <x14:conditionalFormatting xmlns:xm="http://schemas.microsoft.com/office/excel/2006/main">
          <x14:cfRule type="cellIs" priority="13" aboveAverage="0" operator="lessThanOrEqual" rank="0" text="" id="{00760000-003B-4D3A-809D-00F8009B0062}">
            <xm:f>12</xm:f>
            <x14:dxf>
              <font>
                <b/>
                <sz val="10.000000"/>
                <color rgb="FF16A34A"/>
                <name val="Arial"/>
              </font>
              <fill>
                <patternFill patternType="solid">
                  <fgColor rgb="FFDCFCE7"/>
                  <bgColor rgb="FFDCFCE7"/>
                </patternFill>
              </fill>
            </x14:dxf>
          </x14:cfRule>
          <xm:sqref>C22</xm:sqref>
        </x14:conditionalFormatting>
        <x14:conditionalFormatting xmlns:xm="http://schemas.microsoft.com/office/excel/2006/main">
          <x14:cfRule type="cellIs" priority="14" aboveAverage="0" operator="greaterThan" rank="0" text="" id="{00540017-0078-4CE4-A0B9-008A006B000E}">
            <xm:f>18</xm:f>
            <x14:dxf>
              <font>
                <b/>
                <sz val="10.000000"/>
                <color rgb="FFDC2626"/>
                <name val="Arial"/>
              </font>
              <fill>
                <patternFill patternType="solid">
                  <fgColor rgb="FFFEE2E2"/>
                  <bgColor rgb="FFFEE2E2"/>
                </patternFill>
              </fill>
            </x14:dxf>
          </x14:cfRule>
          <xm:sqref>D22</xm:sqref>
        </x14:conditionalFormatting>
        <x14:conditionalFormatting xmlns:xm="http://schemas.microsoft.com/office/excel/2006/main">
          <x14:cfRule type="cellIs" priority="15" aboveAverage="0" operator="between" rank="0" text="" id="{008C00FE-00BC-4D3E-937D-00F800B200D3}">
            <xm:f>12</xm:f>
            <xm:f>18</xm:f>
            <x14:dxf>
              <font>
                <b/>
                <sz val="10.000000"/>
                <color rgb="FFD97706"/>
                <name val="Arial"/>
              </font>
              <fill>
                <patternFill patternType="solid">
                  <fgColor rgb="FFFEF3C7"/>
                  <bgColor rgb="FFFEF3C7"/>
                </patternFill>
              </fill>
            </x14:dxf>
          </x14:cfRule>
          <xm:sqref>D22</xm:sqref>
        </x14:conditionalFormatting>
        <x14:conditionalFormatting xmlns:xm="http://schemas.microsoft.com/office/excel/2006/main">
          <x14:cfRule type="cellIs" priority="16" aboveAverage="0" operator="lessThanOrEqual" rank="0" text="" id="{000600B7-004C-46A3-AFA7-005B006A0024}">
            <xm:f>12</xm:f>
            <x14:dxf>
              <font>
                <b/>
                <sz val="10.000000"/>
                <color rgb="FF16A34A"/>
                <name val="Arial"/>
              </font>
              <fill>
                <patternFill patternType="solid">
                  <fgColor rgb="FFDCFCE7"/>
                  <bgColor rgb="FFDCFCE7"/>
                </patternFill>
              </fill>
            </x14:dxf>
          </x14:cfRule>
          <xm:sqref>D22</xm:sqref>
        </x14:conditionalFormatting>
        <x14:conditionalFormatting xmlns:xm="http://schemas.microsoft.com/office/excel/2006/main">
          <x14:cfRule type="cellIs" priority="17" aboveAverage="0" operator="greaterThan" rank="0" text="" id="{00F80097-00DB-48EA-901B-00DA00AF00E7}">
            <xm:f>18</xm:f>
            <x14:dxf>
              <font>
                <b/>
                <sz val="10.000000"/>
                <color rgb="FFDC2626"/>
                <name val="Arial"/>
              </font>
              <fill>
                <patternFill patternType="solid">
                  <fgColor rgb="FFFEE2E2"/>
                  <bgColor rgb="FFFEE2E2"/>
                </patternFill>
              </fill>
            </x14:dxf>
          </x14:cfRule>
          <xm:sqref>E22</xm:sqref>
        </x14:conditionalFormatting>
        <x14:conditionalFormatting xmlns:xm="http://schemas.microsoft.com/office/excel/2006/main">
          <x14:cfRule type="cellIs" priority="18" aboveAverage="0" operator="between" rank="0" text="" id="{006D007E-00A1-449A-A64C-008A00210046}">
            <xm:f>12</xm:f>
            <xm:f>18</xm:f>
            <x14:dxf>
              <font>
                <b/>
                <sz val="10.000000"/>
                <color rgb="FFD97706"/>
                <name val="Arial"/>
              </font>
              <fill>
                <patternFill patternType="solid">
                  <fgColor rgb="FFFEF3C7"/>
                  <bgColor rgb="FFFEF3C7"/>
                </patternFill>
              </fill>
            </x14:dxf>
          </x14:cfRule>
          <xm:sqref>E22</xm:sqref>
        </x14:conditionalFormatting>
        <x14:conditionalFormatting xmlns:xm="http://schemas.microsoft.com/office/excel/2006/main">
          <x14:cfRule type="cellIs" priority="19" aboveAverage="0" operator="lessThanOrEqual" rank="0" text="" id="{0057001E-00C1-4833-9911-00C300760053}">
            <xm:f>12</xm:f>
            <x14:dxf>
              <font>
                <b/>
                <sz val="10.000000"/>
                <color rgb="FF16A34A"/>
                <name val="Arial"/>
              </font>
              <fill>
                <patternFill patternType="solid">
                  <fgColor rgb="FFDCFCE7"/>
                  <bgColor rgb="FFDCFCE7"/>
                </patternFill>
              </fill>
            </x14:dxf>
          </x14:cfRule>
          <xm:sqref>E22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zoomScale="100" workbookViewId="0">
      <pane xSplit="2" ySplit="21" topLeftCell="C22" activePane="bottomRight" state="frozen"/>
      <selection activeCell="A1" activeCellId="0" sqref="A1"/>
    </sheetView>
  </sheetViews>
  <sheetFormatPr defaultColWidth="8.6796875" defaultRowHeight="14.25"/>
  <cols>
    <col customWidth="1" min="1" max="1" style="1" width="3"/>
    <col customWidth="1" min="2" max="2" style="1" width="36"/>
    <col customWidth="1" min="3" max="26" style="1" width="13"/>
    <col customWidth="1" min="27" max="27" style="1" width="16"/>
  </cols>
  <sheetData>
    <row r="2" ht="30" customHeight="1">
      <c r="B2" s="2" t="s">
        <v>77</v>
      </c>
      <c r="C2" s="2"/>
      <c r="D2" s="2"/>
      <c r="E2" s="2"/>
      <c r="F2" s="2"/>
      <c r="G2" s="2"/>
      <c r="H2" s="2"/>
    </row>
    <row r="4" ht="15" customHeight="1">
      <c r="B4" s="29" t="s">
        <v>78</v>
      </c>
      <c r="C4" s="30" t="s">
        <v>3</v>
      </c>
      <c r="D4" s="3" t="s">
        <v>79</v>
      </c>
      <c r="E4" s="3"/>
      <c r="F4" s="3"/>
      <c r="G4" s="3"/>
      <c r="H4" s="3"/>
    </row>
    <row r="6" ht="15" customHeight="1">
      <c r="B6" s="31" t="s">
        <v>80</v>
      </c>
      <c r="C6" s="31">
        <f>MATCH(C4,{"Optimistic","Base","Pessimistic"},0)</f>
        <v>1</v>
      </c>
    </row>
    <row r="7" ht="15" customHeight="1">
      <c r="B7" s="32" t="s">
        <v>81</v>
      </c>
    </row>
    <row r="8" ht="15" customHeight="1">
      <c r="B8" s="33" t="s">
        <v>82</v>
      </c>
      <c r="C8" s="34">
        <f>CHOOSE($C$6,'1. Assumptions'!C7,'1. Assumptions'!D7,'1. Assumptions'!E7)</f>
        <v>800000</v>
      </c>
    </row>
    <row r="9" ht="15" customHeight="1">
      <c r="B9" s="33" t="s">
        <v>83</v>
      </c>
      <c r="C9" s="35">
        <f>CHOOSE($C$6,'1. Assumptions'!C8,'1. Assumptions'!D8,'1. Assumptions'!E8)</f>
        <v>0.0080000000000000002</v>
      </c>
    </row>
    <row r="10" ht="15" customHeight="1">
      <c r="B10" s="33" t="s">
        <v>84</v>
      </c>
      <c r="C10" s="34">
        <f>CHOOSE($C$6,'1. Assumptions'!C9,'1. Assumptions'!D9,'1. Assumptions'!E9)</f>
        <v>135000</v>
      </c>
    </row>
    <row r="11" ht="15" customHeight="1">
      <c r="B11" s="33" t="s">
        <v>85</v>
      </c>
      <c r="C11" s="34">
        <f>CHOOSE($C$6,'1. Assumptions'!C15,'1. Assumptions'!D15,'1. Assumptions'!E15)</f>
        <v>33000</v>
      </c>
    </row>
    <row r="12" ht="15" customHeight="1">
      <c r="B12" s="33" t="s">
        <v>86</v>
      </c>
      <c r="C12" s="35">
        <f>CHOOSE($C$6,'1. Assumptions'!C18,'1. Assumptions'!D18,'1. Assumptions'!E18)</f>
        <v>0.02</v>
      </c>
    </row>
    <row r="13" ht="15" customHeight="1">
      <c r="B13" s="33" t="s">
        <v>87</v>
      </c>
      <c r="C13" s="34">
        <f>CHOOSE($C$6,'1. Assumptions'!C22,'1. Assumptions'!D22,'1. Assumptions'!E22)</f>
        <v>150000</v>
      </c>
    </row>
    <row r="14" ht="15" customHeight="1">
      <c r="B14" s="33" t="s">
        <v>88</v>
      </c>
      <c r="C14" s="34">
        <f>CHOOSE($C$6,'1. Assumptions'!C28,'1. Assumptions'!D28,'1. Assumptions'!E28)</f>
        <v>90000000</v>
      </c>
    </row>
    <row r="15" ht="15" customHeight="1">
      <c r="B15" s="33" t="s">
        <v>89</v>
      </c>
      <c r="C15" s="34">
        <f>CHOOSE($C$6,'1. Assumptions'!C31,'1. Assumptions'!D31,'1. Assumptions'!E31)</f>
        <v>500000000</v>
      </c>
    </row>
    <row r="16" ht="15" customHeight="1">
      <c r="B16" s="33" t="s">
        <v>90</v>
      </c>
      <c r="C16" s="34">
        <f>CHOOSE($C$6,'1. Assumptions'!C32,'1. Assumptions'!D32,'1. Assumptions'!E32)</f>
        <v>1500000000</v>
      </c>
    </row>
    <row r="17" ht="15" customHeight="1">
      <c r="B17" s="33" t="s">
        <v>91</v>
      </c>
      <c r="C17" s="35">
        <f>CHOOSE($C$6,'1. Assumptions'!C36,'1. Assumptions'!D36,'1. Assumptions'!E36)</f>
        <v>0.015309470499731199</v>
      </c>
    </row>
    <row r="20" ht="15" customHeight="1">
      <c r="B20" s="4" t="s">
        <v>92</v>
      </c>
      <c r="C20" s="4"/>
      <c r="D20" s="4"/>
      <c r="E20" s="4"/>
      <c r="F20" s="4"/>
      <c r="G20" s="4"/>
      <c r="H20" s="4"/>
      <c r="I20" s="4"/>
      <c r="J20" s="4"/>
      <c r="K20" s="4"/>
      <c r="L20" s="4"/>
      <c r="M20" s="4"/>
      <c r="N20" s="4"/>
      <c r="O20" s="4"/>
      <c r="P20" s="4"/>
      <c r="Q20" s="4"/>
      <c r="R20" s="4"/>
      <c r="S20" s="4"/>
      <c r="T20" s="4"/>
      <c r="U20" s="4"/>
      <c r="V20" s="4"/>
      <c r="W20" s="4"/>
      <c r="X20" s="4"/>
      <c r="Y20" s="4"/>
      <c r="Z20" s="4"/>
      <c r="AA20" s="4"/>
    </row>
    <row r="21" ht="15" customHeight="1">
      <c r="B21" s="36" t="s">
        <v>93</v>
      </c>
      <c r="C21" s="37" t="s">
        <v>94</v>
      </c>
      <c r="D21" s="37" t="s">
        <v>95</v>
      </c>
      <c r="E21" s="37" t="s">
        <v>96</v>
      </c>
      <c r="F21" s="37" t="s">
        <v>97</v>
      </c>
      <c r="G21" s="37" t="s">
        <v>98</v>
      </c>
      <c r="H21" s="37" t="s">
        <v>99</v>
      </c>
      <c r="I21" s="37" t="s">
        <v>100</v>
      </c>
      <c r="J21" s="37" t="s">
        <v>101</v>
      </c>
      <c r="K21" s="37" t="s">
        <v>102</v>
      </c>
      <c r="L21" s="37" t="s">
        <v>103</v>
      </c>
      <c r="M21" s="37" t="s">
        <v>104</v>
      </c>
      <c r="N21" s="37" t="s">
        <v>105</v>
      </c>
      <c r="O21" s="37" t="s">
        <v>106</v>
      </c>
      <c r="P21" s="37" t="s">
        <v>107</v>
      </c>
      <c r="Q21" s="37" t="s">
        <v>108</v>
      </c>
      <c r="R21" s="37" t="s">
        <v>109</v>
      </c>
      <c r="S21" s="37" t="s">
        <v>110</v>
      </c>
      <c r="T21" s="37" t="s">
        <v>111</v>
      </c>
      <c r="U21" s="37" t="s">
        <v>112</v>
      </c>
      <c r="V21" s="37" t="s">
        <v>113</v>
      </c>
      <c r="W21" s="37" t="s">
        <v>114</v>
      </c>
      <c r="X21" s="37" t="s">
        <v>115</v>
      </c>
      <c r="Y21" s="37" t="s">
        <v>116</v>
      </c>
      <c r="Z21" s="37" t="s">
        <v>117</v>
      </c>
      <c r="AA21" s="6" t="s">
        <v>118</v>
      </c>
    </row>
    <row r="22" ht="15" customHeight="1">
      <c r="B22" s="10" t="s">
        <v>119</v>
      </c>
      <c r="C22" s="38">
        <f>ROUND($C$10*$C$9,0)</f>
        <v>1080</v>
      </c>
      <c r="D22" s="38">
        <f>ROUND($C$10*$C$9,0)</f>
        <v>1080</v>
      </c>
      <c r="E22" s="38">
        <f>ROUND($C$10*$C$9,0)</f>
        <v>1080</v>
      </c>
      <c r="F22" s="38">
        <f>ROUND($C$10*$C$9,0)</f>
        <v>1080</v>
      </c>
      <c r="G22" s="38">
        <f>ROUND($C$10*$C$9,0)</f>
        <v>1080</v>
      </c>
      <c r="H22" s="38">
        <f>ROUND($C$10*$C$9,0)</f>
        <v>1080</v>
      </c>
      <c r="I22" s="38">
        <f>ROUND($C$10*$C$9,0)</f>
        <v>1080</v>
      </c>
      <c r="J22" s="38">
        <f>ROUND($C$10*$C$9,0)</f>
        <v>1080</v>
      </c>
      <c r="K22" s="38">
        <f>ROUND($C$10*$C$9,0)</f>
        <v>1080</v>
      </c>
      <c r="L22" s="38">
        <f>ROUND($C$10*$C$9,0)</f>
        <v>1080</v>
      </c>
      <c r="M22" s="38">
        <f>ROUND($C$10*$C$9,0)</f>
        <v>1080</v>
      </c>
      <c r="N22" s="38">
        <f>ROUND($C$10*$C$9,0)</f>
        <v>1080</v>
      </c>
      <c r="O22" s="38">
        <f>ROUND($C$10*$C$9,0)</f>
        <v>1080</v>
      </c>
      <c r="P22" s="38">
        <f>ROUND($C$10*$C$9,0)</f>
        <v>1080</v>
      </c>
      <c r="Q22" s="38">
        <f>ROUND($C$10*$C$9,0)</f>
        <v>1080</v>
      </c>
      <c r="R22" s="38">
        <f>ROUND($C$10*$C$9,0)</f>
        <v>1080</v>
      </c>
      <c r="S22" s="38">
        <f>ROUND($C$10*$C$9,0)</f>
        <v>1080</v>
      </c>
      <c r="T22" s="38">
        <f>ROUND($C$10*$C$9,0)</f>
        <v>1080</v>
      </c>
      <c r="U22" s="38">
        <f>ROUND($C$10*$C$9,0)</f>
        <v>1080</v>
      </c>
      <c r="V22" s="38">
        <f>ROUND($C$10*$C$9,0)</f>
        <v>1080</v>
      </c>
      <c r="W22" s="38">
        <f>ROUND($C$10*$C$9,0)</f>
        <v>1080</v>
      </c>
      <c r="X22" s="38">
        <f>ROUND($C$10*$C$9,0)</f>
        <v>1080</v>
      </c>
      <c r="Y22" s="38">
        <f>ROUND($C$10*$C$9,0)</f>
        <v>1080</v>
      </c>
      <c r="Z22" s="38">
        <f>ROUND($C$10*$C$9,0)</f>
        <v>1080</v>
      </c>
      <c r="AA22" s="39">
        <f>SUM(C22:Z22)</f>
        <v>25920</v>
      </c>
    </row>
    <row r="23" ht="15" customHeight="1">
      <c r="B23" s="10" t="s">
        <v>120</v>
      </c>
      <c r="C23" s="38">
        <f>C22</f>
        <v>1080</v>
      </c>
      <c r="D23" s="38">
        <f>C23*(1-$C$12)+D22</f>
        <v>2138.4000000000001</v>
      </c>
      <c r="E23" s="38">
        <f>D23*(1-$C$12)+E22</f>
        <v>3175.6320000000001</v>
      </c>
      <c r="F23" s="38">
        <f>E23*(1-$C$12)+F22</f>
        <v>4192.1193600000006</v>
      </c>
      <c r="G23" s="38">
        <f>F23*(1-$C$12)+G22</f>
        <v>5188.2769728000003</v>
      </c>
      <c r="H23" s="38">
        <f>G23*(1-$C$12)+H22</f>
        <v>6164.5114333440006</v>
      </c>
      <c r="I23" s="38">
        <f>H23*(1-$C$12)+I22</f>
        <v>7121.2212046771201</v>
      </c>
      <c r="J23" s="38">
        <f>I23*(1-$C$12)+J22</f>
        <v>8058.7967805835779</v>
      </c>
      <c r="K23" s="38">
        <f>J23*(1-$C$12)+K22</f>
        <v>8977.6208449719052</v>
      </c>
      <c r="L23" s="38">
        <f>K23*(1-$C$12)+L22</f>
        <v>9878.0684280724672</v>
      </c>
      <c r="M23" s="38">
        <f>L23*(1-$C$12)+M22</f>
        <v>10760.507059511017</v>
      </c>
      <c r="N23" s="38">
        <f>M23*(1-$C$12)+N22</f>
        <v>11625.296918320797</v>
      </c>
      <c r="O23" s="38">
        <f>N23*(1-$C$12)+O22</f>
        <v>12472.790979954381</v>
      </c>
      <c r="P23" s="38">
        <f>O23*(1-$C$12)+P22</f>
        <v>13303.335160355293</v>
      </c>
      <c r="Q23" s="38">
        <f>P23*(1-$C$12)+Q22</f>
        <v>14117.268457148186</v>
      </c>
      <c r="R23" s="38">
        <f>Q23*(1-$C$12)+R22</f>
        <v>14914.923088005222</v>
      </c>
      <c r="S23" s="38">
        <f>R23*(1-$C$12)+S22</f>
        <v>15696.624626245117</v>
      </c>
      <c r="T23" s="38">
        <f>S23*(1-$C$12)+T22</f>
        <v>16462.692133720215</v>
      </c>
      <c r="U23" s="38">
        <f>T23*(1-$C$12)+U22</f>
        <v>17213.438291045808</v>
      </c>
      <c r="V23" s="38">
        <f>U23*(1-$C$12)+V22</f>
        <v>17949.16952522489</v>
      </c>
      <c r="W23" s="38">
        <f>V23*(1-$C$12)+W22</f>
        <v>18670.186134720392</v>
      </c>
      <c r="X23" s="38">
        <f>W23*(1-$C$12)+X22</f>
        <v>19376.782412025983</v>
      </c>
      <c r="Y23" s="38">
        <f>X23*(1-$C$12)+Y22</f>
        <v>20069.246763785464</v>
      </c>
      <c r="Z23" s="38">
        <f>Y23*(1-$C$12)+Z22</f>
        <v>20747.861828509755</v>
      </c>
    </row>
    <row r="25" ht="15" customHeight="1">
      <c r="B25" s="40" t="s">
        <v>121</v>
      </c>
      <c r="C25" s="41">
        <f>C23*$C$8</f>
        <v>864000000</v>
      </c>
      <c r="D25" s="41">
        <f>D23*$C$8</f>
        <v>1710720000</v>
      </c>
      <c r="E25" s="41">
        <f>E23*$C$8</f>
        <v>2540505600</v>
      </c>
      <c r="F25" s="41">
        <f>F23*$C$8</f>
        <v>3353695488.0000005</v>
      </c>
      <c r="G25" s="41">
        <f>G23*$C$8</f>
        <v>4150621578.2400002</v>
      </c>
      <c r="H25" s="41">
        <f>H23*$C$8</f>
        <v>4931609146.6752005</v>
      </c>
      <c r="I25" s="41">
        <f>I23*$C$8</f>
        <v>5696976963.7416964</v>
      </c>
      <c r="J25" s="41">
        <f>J23*$C$8</f>
        <v>6447037424.4668627</v>
      </c>
      <c r="K25" s="41">
        <f>K23*$C$8</f>
        <v>7182096675.9775238</v>
      </c>
      <c r="L25" s="41">
        <f>L23*$C$8</f>
        <v>7902454742.4579735</v>
      </c>
      <c r="M25" s="41">
        <f>M23*$C$8</f>
        <v>8608405647.6088142</v>
      </c>
      <c r="N25" s="41">
        <f>N23*$C$8</f>
        <v>9300237534.6566372</v>
      </c>
      <c r="O25" s="41">
        <f>O23*$C$8</f>
        <v>9978232783.9635048</v>
      </c>
      <c r="P25" s="41">
        <f>P23*$C$8</f>
        <v>10642668128.284235</v>
      </c>
      <c r="Q25" s="41">
        <f>Q23*$C$8</f>
        <v>11293814765.718548</v>
      </c>
      <c r="R25" s="41">
        <f>R23*$C$8</f>
        <v>11931938470.404177</v>
      </c>
      <c r="S25" s="41">
        <f>S23*$C$8</f>
        <v>12557299700.996094</v>
      </c>
      <c r="T25" s="41">
        <f>T23*$C$8</f>
        <v>13170153706.976171</v>
      </c>
      <c r="U25" s="41">
        <f>U23*$C$8</f>
        <v>13770750632.836647</v>
      </c>
      <c r="V25" s="41">
        <f>V23*$C$8</f>
        <v>14359335620.179913</v>
      </c>
      <c r="W25" s="41">
        <f>W23*$C$8</f>
        <v>14936148907.776314</v>
      </c>
      <c r="X25" s="41">
        <f>X23*$C$8</f>
        <v>15501425929.620787</v>
      </c>
      <c r="Y25" s="41">
        <f>Y23*$C$8</f>
        <v>16055397411.028372</v>
      </c>
      <c r="Z25" s="41">
        <f>Z23*$C$8</f>
        <v>16598289462.807804</v>
      </c>
      <c r="AA25" s="42">
        <f t="shared" ref="AA25:AA32" si="0">SUM(C25:Z25)</f>
        <v>223483816322.41727</v>
      </c>
    </row>
    <row r="26" ht="15" customHeight="1">
      <c r="B26" s="10" t="s">
        <v>122</v>
      </c>
      <c r="C26" s="38">
        <f>C23*$C$11</f>
        <v>35640000</v>
      </c>
      <c r="D26" s="38">
        <f>D23*$C$11</f>
        <v>70567200</v>
      </c>
      <c r="E26" s="38">
        <f>E23*$C$11</f>
        <v>104795856</v>
      </c>
      <c r="F26" s="38">
        <f>F23*$C$11</f>
        <v>138339938.88000003</v>
      </c>
      <c r="G26" s="38">
        <f>G23*$C$11</f>
        <v>171213140.1024</v>
      </c>
      <c r="H26" s="38">
        <f>H23*$C$11</f>
        <v>203428877.30035201</v>
      </c>
      <c r="I26" s="38">
        <f>I23*$C$11</f>
        <v>235000299.75434497</v>
      </c>
      <c r="J26" s="38">
        <f>J23*$C$11</f>
        <v>265940293.75925806</v>
      </c>
      <c r="K26" s="38">
        <f>K23*$C$11</f>
        <v>296261487.8840729</v>
      </c>
      <c r="L26" s="38">
        <f>L23*$C$11</f>
        <v>325976258.12639141</v>
      </c>
      <c r="M26" s="38">
        <f>M23*$C$11</f>
        <v>355096732.96386355</v>
      </c>
      <c r="N26" s="38">
        <f>N23*$C$11</f>
        <v>383634798.30458629</v>
      </c>
      <c r="O26" s="38">
        <f>O23*$C$11</f>
        <v>411602102.3384946</v>
      </c>
      <c r="P26" s="38">
        <f>P23*$C$11</f>
        <v>439010060.29172468</v>
      </c>
      <c r="Q26" s="38">
        <f>Q23*$C$11</f>
        <v>465869859.08589011</v>
      </c>
      <c r="R26" s="38">
        <f>R23*$C$11</f>
        <v>492192461.9041723</v>
      </c>
      <c r="S26" s="38">
        <f>S23*$C$11</f>
        <v>517988612.66608888</v>
      </c>
      <c r="T26" s="38">
        <f>T23*$C$11</f>
        <v>543268840.41276705</v>
      </c>
      <c r="U26" s="38">
        <f>U23*$C$11</f>
        <v>568043463.60451162</v>
      </c>
      <c r="V26" s="38">
        <f>V23*$C$11</f>
        <v>592322594.33242142</v>
      </c>
      <c r="W26" s="38">
        <f>W23*$C$11</f>
        <v>616116142.44577289</v>
      </c>
      <c r="X26" s="38">
        <f>X23*$C$11</f>
        <v>639433819.59685743</v>
      </c>
      <c r="Y26" s="38">
        <f>Y23*$C$11</f>
        <v>662285143.20492029</v>
      </c>
      <c r="Z26" s="38">
        <f>Z23*$C$11</f>
        <v>684679440.34082186</v>
      </c>
      <c r="AA26" s="39">
        <f t="shared" si="0"/>
        <v>9218707423.2997131</v>
      </c>
    </row>
    <row r="27" ht="15" customHeight="1">
      <c r="B27" s="9" t="s">
        <v>123</v>
      </c>
      <c r="C27" s="43">
        <f>C25-C26</f>
        <v>828360000</v>
      </c>
      <c r="D27" s="43">
        <f>D25-D26</f>
        <v>1640152800</v>
      </c>
      <c r="E27" s="43">
        <f>E25-E26</f>
        <v>2435709744</v>
      </c>
      <c r="F27" s="43">
        <f>F25-F26</f>
        <v>3215355549.1200004</v>
      </c>
      <c r="G27" s="43">
        <f>G25-G26</f>
        <v>3979408438.1376004</v>
      </c>
      <c r="H27" s="43">
        <f>H25-H26</f>
        <v>4728180269.3748484</v>
      </c>
      <c r="I27" s="43">
        <f>I25-I26</f>
        <v>5461976663.9873514</v>
      </c>
      <c r="J27" s="43">
        <f>J25-J26</f>
        <v>6181097130.7076044</v>
      </c>
      <c r="K27" s="43">
        <f>K25-K26</f>
        <v>6885835188.0934505</v>
      </c>
      <c r="L27" s="43">
        <f>L25-L26</f>
        <v>7576478484.3315821</v>
      </c>
      <c r="M27" s="43">
        <f>M25-M26</f>
        <v>8253308914.6449509</v>
      </c>
      <c r="N27" s="43">
        <f>N25-N26</f>
        <v>8916602736.3520508</v>
      </c>
      <c r="O27" s="43">
        <f>O25-O26</f>
        <v>9566630681.6250095</v>
      </c>
      <c r="P27" s="43">
        <f>P25-P26</f>
        <v>10203658067.99251</v>
      </c>
      <c r="Q27" s="43">
        <f>Q25-Q26</f>
        <v>10827944906.632658</v>
      </c>
      <c r="R27" s="43">
        <f>R25-R26</f>
        <v>11439746008.500004</v>
      </c>
      <c r="S27" s="43">
        <f>S25-S26</f>
        <v>12039311088.330006</v>
      </c>
      <c r="T27" s="43">
        <f>T25-T26</f>
        <v>12626884866.563404</v>
      </c>
      <c r="U27" s="43">
        <f>U25-U26</f>
        <v>13202707169.232136</v>
      </c>
      <c r="V27" s="43">
        <f>V25-V26</f>
        <v>13767013025.84749</v>
      </c>
      <c r="W27" s="43">
        <f>W25-W26</f>
        <v>14320032765.330542</v>
      </c>
      <c r="X27" s="43">
        <f>X25-X26</f>
        <v>14861992110.02393</v>
      </c>
      <c r="Y27" s="43">
        <f>Y25-Y26</f>
        <v>15393112267.823452</v>
      </c>
      <c r="Z27" s="43">
        <f>Z25-Z26</f>
        <v>15913610022.466982</v>
      </c>
      <c r="AA27" s="39">
        <f t="shared" si="0"/>
        <v>214265108899.11755</v>
      </c>
    </row>
    <row r="28" ht="15" customHeight="1">
      <c r="B28" s="10" t="s">
        <v>124</v>
      </c>
      <c r="C28" s="38">
        <f>C22*$C$13</f>
        <v>162000000</v>
      </c>
      <c r="D28" s="38">
        <f>D22*$C$13</f>
        <v>162000000</v>
      </c>
      <c r="E28" s="38">
        <f>E22*$C$13</f>
        <v>162000000</v>
      </c>
      <c r="F28" s="38">
        <f>F22*$C$13</f>
        <v>162000000</v>
      </c>
      <c r="G28" s="38">
        <f>G22*$C$13</f>
        <v>162000000</v>
      </c>
      <c r="H28" s="38">
        <f>H22*$C$13</f>
        <v>162000000</v>
      </c>
      <c r="I28" s="38">
        <f>I22*$C$13</f>
        <v>162000000</v>
      </c>
      <c r="J28" s="38">
        <f>J22*$C$13</f>
        <v>162000000</v>
      </c>
      <c r="K28" s="38">
        <f>K22*$C$13</f>
        <v>162000000</v>
      </c>
      <c r="L28" s="38">
        <f>L22*$C$13</f>
        <v>162000000</v>
      </c>
      <c r="M28" s="38">
        <f>M22*$C$13</f>
        <v>162000000</v>
      </c>
      <c r="N28" s="38">
        <f>N22*$C$13</f>
        <v>162000000</v>
      </c>
      <c r="O28" s="38">
        <f>O22*$C$13</f>
        <v>162000000</v>
      </c>
      <c r="P28" s="38">
        <f>P22*$C$13</f>
        <v>162000000</v>
      </c>
      <c r="Q28" s="38">
        <f>Q22*$C$13</f>
        <v>162000000</v>
      </c>
      <c r="R28" s="38">
        <f>R22*$C$13</f>
        <v>162000000</v>
      </c>
      <c r="S28" s="38">
        <f>S22*$C$13</f>
        <v>162000000</v>
      </c>
      <c r="T28" s="38">
        <f>T22*$C$13</f>
        <v>162000000</v>
      </c>
      <c r="U28" s="38">
        <f>U22*$C$13</f>
        <v>162000000</v>
      </c>
      <c r="V28" s="38">
        <f>V22*$C$13</f>
        <v>162000000</v>
      </c>
      <c r="W28" s="38">
        <f>W22*$C$13</f>
        <v>162000000</v>
      </c>
      <c r="X28" s="38">
        <f>X22*$C$13</f>
        <v>162000000</v>
      </c>
      <c r="Y28" s="38">
        <f>Y22*$C$13</f>
        <v>162000000</v>
      </c>
      <c r="Z28" s="38">
        <f>Z22*$C$13</f>
        <v>162000000</v>
      </c>
      <c r="AA28" s="39">
        <f t="shared" si="0"/>
        <v>3888000000</v>
      </c>
    </row>
    <row r="29" ht="15" customHeight="1">
      <c r="B29" s="10" t="s">
        <v>125</v>
      </c>
      <c r="C29" s="38">
        <f>$C$14</f>
        <v>90000000</v>
      </c>
      <c r="D29" s="38">
        <f>$C$14</f>
        <v>90000000</v>
      </c>
      <c r="E29" s="38">
        <f>$C$14</f>
        <v>90000000</v>
      </c>
      <c r="F29" s="38">
        <f>$C$14</f>
        <v>90000000</v>
      </c>
      <c r="G29" s="38">
        <f>$C$14</f>
        <v>90000000</v>
      </c>
      <c r="H29" s="38">
        <f>$C$14</f>
        <v>90000000</v>
      </c>
      <c r="I29" s="38">
        <f>$C$14</f>
        <v>90000000</v>
      </c>
      <c r="J29" s="38">
        <f>$C$14</f>
        <v>90000000</v>
      </c>
      <c r="K29" s="38">
        <f>$C$14</f>
        <v>90000000</v>
      </c>
      <c r="L29" s="38">
        <f>$C$14</f>
        <v>90000000</v>
      </c>
      <c r="M29" s="38">
        <f>$C$14</f>
        <v>90000000</v>
      </c>
      <c r="N29" s="38">
        <f>$C$14</f>
        <v>90000000</v>
      </c>
      <c r="O29" s="38">
        <f>$C$14</f>
        <v>90000000</v>
      </c>
      <c r="P29" s="38">
        <f>$C$14</f>
        <v>90000000</v>
      </c>
      <c r="Q29" s="38">
        <f>$C$14</f>
        <v>90000000</v>
      </c>
      <c r="R29" s="38">
        <f>$C$14</f>
        <v>90000000</v>
      </c>
      <c r="S29" s="38">
        <f>$C$14</f>
        <v>90000000</v>
      </c>
      <c r="T29" s="38">
        <f>$C$14</f>
        <v>90000000</v>
      </c>
      <c r="U29" s="38">
        <f>$C$14</f>
        <v>90000000</v>
      </c>
      <c r="V29" s="38">
        <f>$C$14</f>
        <v>90000000</v>
      </c>
      <c r="W29" s="38">
        <f>$C$14</f>
        <v>90000000</v>
      </c>
      <c r="X29" s="38">
        <f>$C$14</f>
        <v>90000000</v>
      </c>
      <c r="Y29" s="38">
        <f>$C$14</f>
        <v>90000000</v>
      </c>
      <c r="Z29" s="38">
        <f>$C$14</f>
        <v>90000000</v>
      </c>
      <c r="AA29" s="39">
        <f t="shared" si="0"/>
        <v>2160000000</v>
      </c>
    </row>
    <row r="30" ht="15" customHeight="1">
      <c r="B30" s="19" t="s">
        <v>126</v>
      </c>
      <c r="C30" s="44">
        <f>C27-C28-C29</f>
        <v>576360000</v>
      </c>
      <c r="D30" s="44">
        <f>D27-D28-D29</f>
        <v>1388152800</v>
      </c>
      <c r="E30" s="44">
        <f>E27-E28-E29</f>
        <v>2183709744</v>
      </c>
      <c r="F30" s="44">
        <f>F27-F28-F29</f>
        <v>2963355549.1200004</v>
      </c>
      <c r="G30" s="44">
        <f>G27-G28-G29</f>
        <v>3727408438.1376004</v>
      </c>
      <c r="H30" s="44">
        <f>H27-H28-H29</f>
        <v>4476180269.3748484</v>
      </c>
      <c r="I30" s="44">
        <f>I27-I28-I29</f>
        <v>5209976663.9873514</v>
      </c>
      <c r="J30" s="44">
        <f>J27-J28-J29</f>
        <v>5929097130.7076044</v>
      </c>
      <c r="K30" s="44">
        <f>K27-K28-K29</f>
        <v>6633835188.0934505</v>
      </c>
      <c r="L30" s="44">
        <f>L27-L28-L29</f>
        <v>7324478484.3315821</v>
      </c>
      <c r="M30" s="44">
        <f>M27-M28-M29</f>
        <v>8001308914.6449509</v>
      </c>
      <c r="N30" s="44">
        <f>N27-N28-N29</f>
        <v>8664602736.3520508</v>
      </c>
      <c r="O30" s="44">
        <f>O27-O28-O29</f>
        <v>9314630681.6250095</v>
      </c>
      <c r="P30" s="44">
        <f>P27-P28-P29</f>
        <v>9951658067.9925098</v>
      </c>
      <c r="Q30" s="44">
        <f>Q27-Q28-Q29</f>
        <v>10575944906.632658</v>
      </c>
      <c r="R30" s="44">
        <f>R27-R28-R29</f>
        <v>11187746008.500004</v>
      </c>
      <c r="S30" s="44">
        <f>S27-S28-S29</f>
        <v>11787311088.330006</v>
      </c>
      <c r="T30" s="44">
        <f>T27-T28-T29</f>
        <v>12374884866.563404</v>
      </c>
      <c r="U30" s="44">
        <f>U27-U28-U29</f>
        <v>12950707169.232136</v>
      </c>
      <c r="V30" s="44">
        <f>V27-V28-V29</f>
        <v>13515013025.84749</v>
      </c>
      <c r="W30" s="44">
        <f>W27-W28-W29</f>
        <v>14068032765.330542</v>
      </c>
      <c r="X30" s="44">
        <f>X27-X28-X29</f>
        <v>14609992110.02393</v>
      </c>
      <c r="Y30" s="44">
        <f>Y27-Y28-Y29</f>
        <v>15141112267.823452</v>
      </c>
      <c r="Z30" s="44">
        <f>Z27-Z28-Z29</f>
        <v>15661610022.466982</v>
      </c>
      <c r="AA30" s="45">
        <f t="shared" si="0"/>
        <v>208217108899.11755</v>
      </c>
    </row>
    <row r="32" ht="15" customHeight="1">
      <c r="B32" s="10" t="s">
        <v>127</v>
      </c>
      <c r="C32" s="38">
        <f>C30-$C$15</f>
        <v>76360000</v>
      </c>
      <c r="D32" s="38">
        <f>D30</f>
        <v>1388152800</v>
      </c>
      <c r="E32" s="38">
        <f>E30</f>
        <v>2183709744</v>
      </c>
      <c r="F32" s="38">
        <f>F30</f>
        <v>2963355549.1200004</v>
      </c>
      <c r="G32" s="38">
        <f>G30</f>
        <v>3727408438.1376004</v>
      </c>
      <c r="H32" s="38">
        <f>H30</f>
        <v>4476180269.3748484</v>
      </c>
      <c r="I32" s="38">
        <f>I30</f>
        <v>5209976663.9873514</v>
      </c>
      <c r="J32" s="38">
        <f>J30</f>
        <v>5929097130.7076044</v>
      </c>
      <c r="K32" s="38">
        <f>K30</f>
        <v>6633835188.0934505</v>
      </c>
      <c r="L32" s="38">
        <f>L30</f>
        <v>7324478484.3315821</v>
      </c>
      <c r="M32" s="38">
        <f>M30</f>
        <v>8001308914.6449509</v>
      </c>
      <c r="N32" s="38">
        <f>N30</f>
        <v>8664602736.3520508</v>
      </c>
      <c r="O32" s="38">
        <f>O30</f>
        <v>9314630681.6250095</v>
      </c>
      <c r="P32" s="38">
        <f>P30</f>
        <v>9951658067.9925098</v>
      </c>
      <c r="Q32" s="38">
        <f>Q30</f>
        <v>10575944906.632658</v>
      </c>
      <c r="R32" s="38">
        <f>R30</f>
        <v>11187746008.500004</v>
      </c>
      <c r="S32" s="38">
        <f>S30</f>
        <v>11787311088.330006</v>
      </c>
      <c r="T32" s="38">
        <f>T30</f>
        <v>12374884866.563404</v>
      </c>
      <c r="U32" s="38">
        <f>U30</f>
        <v>12950707169.232136</v>
      </c>
      <c r="V32" s="38">
        <f>V30</f>
        <v>13515013025.84749</v>
      </c>
      <c r="W32" s="38">
        <f>W30</f>
        <v>14068032765.330542</v>
      </c>
      <c r="X32" s="38">
        <f>X30</f>
        <v>14609992110.02393</v>
      </c>
      <c r="Y32" s="38">
        <f>Y30</f>
        <v>15141112267.823452</v>
      </c>
      <c r="Z32" s="38">
        <f>Z30</f>
        <v>15661610022.466982</v>
      </c>
      <c r="AA32" s="39">
        <f t="shared" si="0"/>
        <v>207717108899.11755</v>
      </c>
    </row>
    <row r="33" ht="15" customHeight="1">
      <c r="B33" s="46" t="s">
        <v>128</v>
      </c>
      <c r="C33" s="47">
        <f>$C$16+C32</f>
        <v>1576360000</v>
      </c>
      <c r="D33" s="47">
        <f>C33+D32</f>
        <v>2964512800</v>
      </c>
      <c r="E33" s="47">
        <f>D33+E32</f>
        <v>5148222544</v>
      </c>
      <c r="F33" s="47">
        <f>E33+F32</f>
        <v>8111578093.1200008</v>
      </c>
      <c r="G33" s="47">
        <f>F33+G32</f>
        <v>11838986531.257601</v>
      </c>
      <c r="H33" s="47">
        <f>G33+H32</f>
        <v>16315166800.63245</v>
      </c>
      <c r="I33" s="47">
        <f>H33+I32</f>
        <v>21525143464.619801</v>
      </c>
      <c r="J33" s="47">
        <f>I33+J32</f>
        <v>27454240595.327404</v>
      </c>
      <c r="K33" s="47">
        <f>J33+K32</f>
        <v>34088075783.420853</v>
      </c>
      <c r="L33" s="47">
        <f>K33+L32</f>
        <v>41412554267.752434</v>
      </c>
      <c r="M33" s="47">
        <f>L33+M32</f>
        <v>49413863182.397385</v>
      </c>
      <c r="N33" s="47">
        <f>M33+N32</f>
        <v>58078465918.749435</v>
      </c>
      <c r="O33" s="47">
        <f>N33+O32</f>
        <v>67393096600.374443</v>
      </c>
      <c r="P33" s="47">
        <f>O33+P32</f>
        <v>77344754668.366959</v>
      </c>
      <c r="Q33" s="47">
        <f>P33+Q32</f>
        <v>87920699574.999619</v>
      </c>
      <c r="R33" s="47">
        <f>Q33+R32</f>
        <v>99108445583.499619</v>
      </c>
      <c r="S33" s="47">
        <f>R33+S32</f>
        <v>110895756671.82962</v>
      </c>
      <c r="T33" s="47">
        <f>S33+T32</f>
        <v>123270641538.39302</v>
      </c>
      <c r="U33" s="47">
        <f>T33+U32</f>
        <v>136221348707.62515</v>
      </c>
      <c r="V33" s="47">
        <f>U33+V32</f>
        <v>149736361733.47266</v>
      </c>
      <c r="W33" s="47">
        <f>V33+W32</f>
        <v>163804394498.80319</v>
      </c>
      <c r="X33" s="47">
        <f>W33+X32</f>
        <v>178414386608.82712</v>
      </c>
      <c r="Y33" s="47">
        <f>X33+Y32</f>
        <v>193555498876.65057</v>
      </c>
      <c r="Z33" s="47">
        <f>Y33+Z32</f>
        <v>209217108899.11755</v>
      </c>
    </row>
    <row r="36" ht="15" customHeight="1">
      <c r="B36" s="4" t="s">
        <v>129</v>
      </c>
      <c r="C36" s="4"/>
      <c r="D36" s="4"/>
      <c r="E36" s="4"/>
      <c r="F36" s="4"/>
      <c r="G36" s="4"/>
      <c r="H36" s="4"/>
      <c r="I36" s="4"/>
      <c r="J36" s="4"/>
    </row>
    <row r="37" ht="15" customHeight="1">
      <c r="B37" s="9" t="s">
        <v>130</v>
      </c>
      <c r="C37" s="48">
        <f>(NPV($C$17,D32:Z32)+C32)/1000000</f>
        <v>165653.43139472304</v>
      </c>
      <c r="D37" s="31" t="str">
        <f>"(target: &gt; 0)"</f>
        <v xml:space="preserve">(target: &gt; 0)</v>
      </c>
    </row>
    <row r="38" ht="15" customHeight="1">
      <c r="B38" s="9" t="s">
        <v>131</v>
      </c>
      <c r="C38" s="49">
        <f>IFERROR((1+IRR(C32:Z32))^12-1,0)</f>
        <v>0</v>
      </c>
      <c r="D38" s="31" t="str">
        <f>"(target: &gt; "&amp;TEXT(CHOOSE($C$6,'1. Assumptions'!C35,'1. Assumptions'!D35,'1. Assumptions'!E35),"0.0%")&amp;")"</f>
        <v xml:space="preserve">(target: &gt; 20.0%)</v>
      </c>
    </row>
    <row r="39" ht="15" customHeight="1">
      <c r="B39" s="9" t="s">
        <v>132</v>
      </c>
      <c r="C39" s="50" t="str">
        <f>IFERROR(MATCH(TRUE(),INDEX(C41:Z41&gt;=0,0),0),"&gt; 24")</f>
        <v xml:space="preserve">&gt; 24</v>
      </c>
      <c r="D39" s="31" t="str">
        <f>"(target: &lt; 24)"</f>
        <v xml:space="preserve">(target: &lt; 24)</v>
      </c>
    </row>
    <row r="40" ht="15" customHeight="1">
      <c r="B40" s="9" t="s">
        <v>133</v>
      </c>
      <c r="C40" s="50" t="str">
        <f>IFERROR(MATCH(TRUE(),INDEX(C33:Z33&lt;0,0),0)-1,"&gt;= 24")</f>
        <v xml:space="preserve">&gt;= 24</v>
      </c>
      <c r="D40" s="31" t="str">
        <f>"(target: &gt;= 12)"</f>
        <v xml:space="preserve">(target: &gt;= 12)</v>
      </c>
    </row>
    <row r="41" ht="15" customHeight="1">
      <c r="B41" s="51" t="s">
        <v>134</v>
      </c>
      <c r="C41" s="52">
        <f>C32</f>
        <v>76360000</v>
      </c>
      <c r="D41" s="52">
        <f>C41+D32</f>
        <v>1464512800</v>
      </c>
      <c r="E41" s="52">
        <f>D41+E32</f>
        <v>3648222544</v>
      </c>
      <c r="F41" s="52">
        <f>E41+F32</f>
        <v>6611578093.1200008</v>
      </c>
      <c r="G41" s="52">
        <f>F41+G32</f>
        <v>10338986531.257601</v>
      </c>
      <c r="H41" s="52">
        <f>G41+H32</f>
        <v>14815166800.63245</v>
      </c>
      <c r="I41" s="52">
        <f>H41+I32</f>
        <v>20025143464.619801</v>
      </c>
      <c r="J41" s="52">
        <f>I41+J32</f>
        <v>25954240595.327404</v>
      </c>
      <c r="K41" s="52">
        <f>J41+K32</f>
        <v>32588075783.420853</v>
      </c>
      <c r="L41" s="52">
        <f>K41+L32</f>
        <v>39912554267.752434</v>
      </c>
      <c r="M41" s="52">
        <f>L41+M32</f>
        <v>47913863182.397385</v>
      </c>
      <c r="N41" s="52">
        <f>M41+N32</f>
        <v>56578465918.749435</v>
      </c>
      <c r="O41" s="52">
        <f>N41+O32</f>
        <v>65893096600.374443</v>
      </c>
      <c r="P41" s="52">
        <f>O41+P32</f>
        <v>75844754668.366959</v>
      </c>
      <c r="Q41" s="52">
        <f>P41+Q32</f>
        <v>86420699574.999619</v>
      </c>
      <c r="R41" s="52">
        <f>Q41+R32</f>
        <v>97608445583.499619</v>
      </c>
      <c r="S41" s="52">
        <f>R41+S32</f>
        <v>109395756671.82962</v>
      </c>
      <c r="T41" s="52">
        <f>S41+T32</f>
        <v>121770641538.39302</v>
      </c>
      <c r="U41" s="52">
        <f>T41+U32</f>
        <v>134721348707.62515</v>
      </c>
      <c r="V41" s="52">
        <f>U41+V32</f>
        <v>148236361733.47266</v>
      </c>
      <c r="W41" s="52">
        <f>V41+W32</f>
        <v>162304394498.80319</v>
      </c>
      <c r="X41" s="52">
        <f>W41+X32</f>
        <v>176914386608.82712</v>
      </c>
      <c r="Y41" s="52">
        <f>X41+Y32</f>
        <v>192055498876.65057</v>
      </c>
      <c r="Z41" s="52">
        <f>Y41+Z32</f>
        <v>207717108899.11755</v>
      </c>
    </row>
    <row r="43" ht="15" customHeight="1">
      <c r="B43" s="4" t="s">
        <v>135</v>
      </c>
      <c r="C43" s="4"/>
      <c r="D43" s="4"/>
      <c r="E43" s="4"/>
      <c r="F43" s="4"/>
      <c r="G43" s="4"/>
      <c r="H43" s="4"/>
      <c r="I43" s="4"/>
      <c r="J43" s="4"/>
    </row>
    <row r="44" ht="15" customHeight="1">
      <c r="B44" s="9" t="s">
        <v>136</v>
      </c>
      <c r="C44" s="53" t="str">
        <f>IF(AND(C37&gt;0,C38&gt;CHOOSE($C$6,'1. Assumptions'!C35,'1. Assumptions'!D35,'1. Assumptions'!E35)),"✓ GO — NPV+ và IRR &gt; WACC",IF(C37&lt;0,"✗ NO-GO — NPV âm: dự án không tạo giá trị","⚠ HOLD — IRR thấp hơn kỳ vọng, cần điều chỉnh"))</f>
        <v xml:space="preserve">⚠ HOLD — IRR thấp hơn kỳ vọng, cần điều chỉnh</v>
      </c>
      <c r="D44" s="53"/>
      <c r="E44" s="53"/>
      <c r="F44" s="53"/>
      <c r="G44" s="53"/>
      <c r="H44" s="53"/>
      <c r="I44" s="53"/>
      <c r="J44" s="53"/>
    </row>
  </sheetData>
  <mergeCells count="6">
    <mergeCell ref="B2:H2"/>
    <mergeCell ref="D4:H4"/>
    <mergeCell ref="B20:AA20"/>
    <mergeCell ref="B36:J36"/>
    <mergeCell ref="B43:J43"/>
    <mergeCell ref="C44:J44"/>
  </mergeCell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cellIs" priority="2" aboveAverage="0" operator="lessThan" rank="0" text="" id="{00AC00D4-00A1-44C5-863D-00EA0079002B}">
            <xm:f>0</xm:f>
            <x14:dxf>
              <font>
                <b/>
                <sz val="9.000000"/>
                <color rgb="FFDC2626"/>
                <name val="Arial"/>
              </font>
              <fill>
                <patternFill patternType="solid">
                  <fgColor rgb="FFFEE2E2"/>
                  <bgColor rgb="FFFEE2E2"/>
                </patternFill>
              </fill>
            </x14:dxf>
          </x14:cfRule>
          <xm:sqref>C33</xm:sqref>
        </x14:conditionalFormatting>
        <x14:conditionalFormatting xmlns:xm="http://schemas.microsoft.com/office/excel/2006/main">
          <x14:cfRule type="cellIs" priority="3" aboveAverage="0" operator="lessThan" rank="0" text="" id="{00D00033-0064-418A-B6AB-00CD00AF0050}">
            <xm:f>0</xm:f>
            <x14:dxf>
              <font>
                <b/>
                <sz val="9.000000"/>
                <color rgb="FFDC2626"/>
                <name val="Arial"/>
              </font>
              <fill>
                <patternFill patternType="solid">
                  <fgColor rgb="FFFEE2E2"/>
                  <bgColor rgb="FFFEE2E2"/>
                </patternFill>
              </fill>
            </x14:dxf>
          </x14:cfRule>
          <xm:sqref>D33</xm:sqref>
        </x14:conditionalFormatting>
        <x14:conditionalFormatting xmlns:xm="http://schemas.microsoft.com/office/excel/2006/main">
          <x14:cfRule type="cellIs" priority="4" aboveAverage="0" operator="lessThan" rank="0" text="" id="{00B2008C-0079-425F-A84D-00FB00BD0085}">
            <xm:f>0</xm:f>
            <x14:dxf>
              <font>
                <b/>
                <sz val="9.000000"/>
                <color rgb="FFDC2626"/>
                <name val="Arial"/>
              </font>
              <fill>
                <patternFill patternType="solid">
                  <fgColor rgb="FFFEE2E2"/>
                  <bgColor rgb="FFFEE2E2"/>
                </patternFill>
              </fill>
            </x14:dxf>
          </x14:cfRule>
          <xm:sqref>E33</xm:sqref>
        </x14:conditionalFormatting>
        <x14:conditionalFormatting xmlns:xm="http://schemas.microsoft.com/office/excel/2006/main">
          <x14:cfRule type="cellIs" priority="5" aboveAverage="0" operator="lessThan" rank="0" text="" id="{003B007A-0062-4710-864D-0044004F00F0}">
            <xm:f>0</xm:f>
            <x14:dxf>
              <font>
                <b/>
                <sz val="9.000000"/>
                <color rgb="FFDC2626"/>
                <name val="Arial"/>
              </font>
              <fill>
                <patternFill patternType="solid">
                  <fgColor rgb="FFFEE2E2"/>
                  <bgColor rgb="FFFEE2E2"/>
                </patternFill>
              </fill>
            </x14:dxf>
          </x14:cfRule>
          <xm:sqref>F33</xm:sqref>
        </x14:conditionalFormatting>
        <x14:conditionalFormatting xmlns:xm="http://schemas.microsoft.com/office/excel/2006/main">
          <x14:cfRule type="cellIs" priority="6" aboveAverage="0" operator="lessThan" rank="0" text="" id="{0057004C-00DE-4C06-936D-000A006500DB}">
            <xm:f>0</xm:f>
            <x14:dxf>
              <font>
                <b/>
                <sz val="9.000000"/>
                <color rgb="FFDC2626"/>
                <name val="Arial"/>
              </font>
              <fill>
                <patternFill patternType="solid">
                  <fgColor rgb="FFFEE2E2"/>
                  <bgColor rgb="FFFEE2E2"/>
                </patternFill>
              </fill>
            </x14:dxf>
          </x14:cfRule>
          <xm:sqref>G33</xm:sqref>
        </x14:conditionalFormatting>
        <x14:conditionalFormatting xmlns:xm="http://schemas.microsoft.com/office/excel/2006/main">
          <x14:cfRule type="cellIs" priority="7" aboveAverage="0" operator="lessThan" rank="0" text="" id="{000300E8-00C4-4D7D-89ED-00910019008D}">
            <xm:f>0</xm:f>
            <x14:dxf>
              <font>
                <b/>
                <sz val="9.000000"/>
                <color rgb="FFDC2626"/>
                <name val="Arial"/>
              </font>
              <fill>
                <patternFill patternType="solid">
                  <fgColor rgb="FFFEE2E2"/>
                  <bgColor rgb="FFFEE2E2"/>
                </patternFill>
              </fill>
            </x14:dxf>
          </x14:cfRule>
          <xm:sqref>H33</xm:sqref>
        </x14:conditionalFormatting>
        <x14:conditionalFormatting xmlns:xm="http://schemas.microsoft.com/office/excel/2006/main">
          <x14:cfRule type="cellIs" priority="8" aboveAverage="0" operator="lessThan" rank="0" text="" id="{004C0093-00AF-405C-AB71-002200E30082}">
            <xm:f>0</xm:f>
            <x14:dxf>
              <font>
                <b/>
                <sz val="9.000000"/>
                <color rgb="FFDC2626"/>
                <name val="Arial"/>
              </font>
              <fill>
                <patternFill patternType="solid">
                  <fgColor rgb="FFFEE2E2"/>
                  <bgColor rgb="FFFEE2E2"/>
                </patternFill>
              </fill>
            </x14:dxf>
          </x14:cfRule>
          <xm:sqref>I33</xm:sqref>
        </x14:conditionalFormatting>
        <x14:conditionalFormatting xmlns:xm="http://schemas.microsoft.com/office/excel/2006/main">
          <x14:cfRule type="cellIs" priority="9" aboveAverage="0" operator="lessThan" rank="0" text="" id="{0016004A-00EA-423A-9F93-006F00D800FE}">
            <xm:f>0</xm:f>
            <x14:dxf>
              <font>
                <b/>
                <sz val="9.000000"/>
                <color rgb="FFDC2626"/>
                <name val="Arial"/>
              </font>
              <fill>
                <patternFill patternType="solid">
                  <fgColor rgb="FFFEE2E2"/>
                  <bgColor rgb="FFFEE2E2"/>
                </patternFill>
              </fill>
            </x14:dxf>
          </x14:cfRule>
          <xm:sqref>J33</xm:sqref>
        </x14:conditionalFormatting>
        <x14:conditionalFormatting xmlns:xm="http://schemas.microsoft.com/office/excel/2006/main">
          <x14:cfRule type="cellIs" priority="10" aboveAverage="0" operator="lessThan" rank="0" text="" id="{00C000AC-0003-4E33-A738-00B60054004F}">
            <xm:f>0</xm:f>
            <x14:dxf>
              <font>
                <b/>
                <sz val="9.000000"/>
                <color rgb="FFDC2626"/>
                <name val="Arial"/>
              </font>
              <fill>
                <patternFill patternType="solid">
                  <fgColor rgb="FFFEE2E2"/>
                  <bgColor rgb="FFFEE2E2"/>
                </patternFill>
              </fill>
            </x14:dxf>
          </x14:cfRule>
          <xm:sqref>K33</xm:sqref>
        </x14:conditionalFormatting>
        <x14:conditionalFormatting xmlns:xm="http://schemas.microsoft.com/office/excel/2006/main">
          <x14:cfRule type="cellIs" priority="11" aboveAverage="0" operator="lessThan" rank="0" text="" id="{0084009D-00C0-4702-A6AA-00D8003E001C}">
            <xm:f>0</xm:f>
            <x14:dxf>
              <font>
                <b/>
                <sz val="9.000000"/>
                <color rgb="FFDC2626"/>
                <name val="Arial"/>
              </font>
              <fill>
                <patternFill patternType="solid">
                  <fgColor rgb="FFFEE2E2"/>
                  <bgColor rgb="FFFEE2E2"/>
                </patternFill>
              </fill>
            </x14:dxf>
          </x14:cfRule>
          <xm:sqref>L33</xm:sqref>
        </x14:conditionalFormatting>
        <x14:conditionalFormatting xmlns:xm="http://schemas.microsoft.com/office/excel/2006/main">
          <x14:cfRule type="cellIs" priority="12" aboveAverage="0" operator="lessThan" rank="0" text="" id="{006D004C-00F9-416E-B991-006500BF00A3}">
            <xm:f>0</xm:f>
            <x14:dxf>
              <font>
                <b/>
                <sz val="9.000000"/>
                <color rgb="FFDC2626"/>
                <name val="Arial"/>
              </font>
              <fill>
                <patternFill patternType="solid">
                  <fgColor rgb="FFFEE2E2"/>
                  <bgColor rgb="FFFEE2E2"/>
                </patternFill>
              </fill>
            </x14:dxf>
          </x14:cfRule>
          <xm:sqref>M33</xm:sqref>
        </x14:conditionalFormatting>
        <x14:conditionalFormatting xmlns:xm="http://schemas.microsoft.com/office/excel/2006/main">
          <x14:cfRule type="cellIs" priority="13" aboveAverage="0" operator="lessThan" rank="0" text="" id="{00F40021-00C6-43A5-A3D5-007C00BB00D1}">
            <xm:f>0</xm:f>
            <x14:dxf>
              <font>
                <b/>
                <sz val="9.000000"/>
                <color rgb="FFDC2626"/>
                <name val="Arial"/>
              </font>
              <fill>
                <patternFill patternType="solid">
                  <fgColor rgb="FFFEE2E2"/>
                  <bgColor rgb="FFFEE2E2"/>
                </patternFill>
              </fill>
            </x14:dxf>
          </x14:cfRule>
          <xm:sqref>N33</xm:sqref>
        </x14:conditionalFormatting>
        <x14:conditionalFormatting xmlns:xm="http://schemas.microsoft.com/office/excel/2006/main">
          <x14:cfRule type="cellIs" priority="14" aboveAverage="0" operator="lessThan" rank="0" text="" id="{00F7000E-00F6-40DB-B41F-004A00D8001B}">
            <xm:f>0</xm:f>
            <x14:dxf>
              <font>
                <b/>
                <sz val="9.000000"/>
                <color rgb="FFDC2626"/>
                <name val="Arial"/>
              </font>
              <fill>
                <patternFill patternType="solid">
                  <fgColor rgb="FFFEE2E2"/>
                  <bgColor rgb="FFFEE2E2"/>
                </patternFill>
              </fill>
            </x14:dxf>
          </x14:cfRule>
          <xm:sqref>O33</xm:sqref>
        </x14:conditionalFormatting>
        <x14:conditionalFormatting xmlns:xm="http://schemas.microsoft.com/office/excel/2006/main">
          <x14:cfRule type="cellIs" priority="15" aboveAverage="0" operator="lessThan" rank="0" text="" id="{004900BB-002E-47A6-9654-009100E60034}">
            <xm:f>0</xm:f>
            <x14:dxf>
              <font>
                <b/>
                <sz val="9.000000"/>
                <color rgb="FFDC2626"/>
                <name val="Arial"/>
              </font>
              <fill>
                <patternFill patternType="solid">
                  <fgColor rgb="FFFEE2E2"/>
                  <bgColor rgb="FFFEE2E2"/>
                </patternFill>
              </fill>
            </x14:dxf>
          </x14:cfRule>
          <xm:sqref>P33</xm:sqref>
        </x14:conditionalFormatting>
        <x14:conditionalFormatting xmlns:xm="http://schemas.microsoft.com/office/excel/2006/main">
          <x14:cfRule type="cellIs" priority="16" aboveAverage="0" operator="lessThan" rank="0" text="" id="{00EB00C9-0095-451A-9D0C-0049002100EE}">
            <xm:f>0</xm:f>
            <x14:dxf>
              <font>
                <b/>
                <sz val="9.000000"/>
                <color rgb="FFDC2626"/>
                <name val="Arial"/>
              </font>
              <fill>
                <patternFill patternType="solid">
                  <fgColor rgb="FFFEE2E2"/>
                  <bgColor rgb="FFFEE2E2"/>
                </patternFill>
              </fill>
            </x14:dxf>
          </x14:cfRule>
          <xm:sqref>Q33</xm:sqref>
        </x14:conditionalFormatting>
        <x14:conditionalFormatting xmlns:xm="http://schemas.microsoft.com/office/excel/2006/main">
          <x14:cfRule type="cellIs" priority="17" aboveAverage="0" operator="lessThan" rank="0" text="" id="{002700EA-0018-4D0C-A8E2-00F600450050}">
            <xm:f>0</xm:f>
            <x14:dxf>
              <font>
                <b/>
                <sz val="9.000000"/>
                <color rgb="FFDC2626"/>
                <name val="Arial"/>
              </font>
              <fill>
                <patternFill patternType="solid">
                  <fgColor rgb="FFFEE2E2"/>
                  <bgColor rgb="FFFEE2E2"/>
                </patternFill>
              </fill>
            </x14:dxf>
          </x14:cfRule>
          <xm:sqref>R33</xm:sqref>
        </x14:conditionalFormatting>
        <x14:conditionalFormatting xmlns:xm="http://schemas.microsoft.com/office/excel/2006/main">
          <x14:cfRule type="cellIs" priority="18" aboveAverage="0" operator="lessThan" rank="0" text="" id="{005F00C2-0083-452B-B06B-0075003400F0}">
            <xm:f>0</xm:f>
            <x14:dxf>
              <font>
                <b/>
                <sz val="9.000000"/>
                <color rgb="FFDC2626"/>
                <name val="Arial"/>
              </font>
              <fill>
                <patternFill patternType="solid">
                  <fgColor rgb="FFFEE2E2"/>
                  <bgColor rgb="FFFEE2E2"/>
                </patternFill>
              </fill>
            </x14:dxf>
          </x14:cfRule>
          <xm:sqref>S33</xm:sqref>
        </x14:conditionalFormatting>
        <x14:conditionalFormatting xmlns:xm="http://schemas.microsoft.com/office/excel/2006/main">
          <x14:cfRule type="cellIs" priority="19" aboveAverage="0" operator="lessThan" rank="0" text="" id="{0070005A-0052-4782-A0A1-00960054006A}">
            <xm:f>0</xm:f>
            <x14:dxf>
              <font>
                <b/>
                <sz val="9.000000"/>
                <color rgb="FFDC2626"/>
                <name val="Arial"/>
              </font>
              <fill>
                <patternFill patternType="solid">
                  <fgColor rgb="FFFEE2E2"/>
                  <bgColor rgb="FFFEE2E2"/>
                </patternFill>
              </fill>
            </x14:dxf>
          </x14:cfRule>
          <xm:sqref>T33</xm:sqref>
        </x14:conditionalFormatting>
        <x14:conditionalFormatting xmlns:xm="http://schemas.microsoft.com/office/excel/2006/main">
          <x14:cfRule type="cellIs" priority="20" aboveAverage="0" operator="lessThan" rank="0" text="" id="{00880078-0096-4138-BAC1-00CD00A30073}">
            <xm:f>0</xm:f>
            <x14:dxf>
              <font>
                <b/>
                <sz val="9.000000"/>
                <color rgb="FFDC2626"/>
                <name val="Arial"/>
              </font>
              <fill>
                <patternFill patternType="solid">
                  <fgColor rgb="FFFEE2E2"/>
                  <bgColor rgb="FFFEE2E2"/>
                </patternFill>
              </fill>
            </x14:dxf>
          </x14:cfRule>
          <xm:sqref>U33</xm:sqref>
        </x14:conditionalFormatting>
        <x14:conditionalFormatting xmlns:xm="http://schemas.microsoft.com/office/excel/2006/main">
          <x14:cfRule type="cellIs" priority="21" aboveAverage="0" operator="lessThan" rank="0" text="" id="{0076000F-0069-4886-BF73-007E006E00DC}">
            <xm:f>0</xm:f>
            <x14:dxf>
              <font>
                <b/>
                <sz val="9.000000"/>
                <color rgb="FFDC2626"/>
                <name val="Arial"/>
              </font>
              <fill>
                <patternFill patternType="solid">
                  <fgColor rgb="FFFEE2E2"/>
                  <bgColor rgb="FFFEE2E2"/>
                </patternFill>
              </fill>
            </x14:dxf>
          </x14:cfRule>
          <xm:sqref>V33</xm:sqref>
        </x14:conditionalFormatting>
        <x14:conditionalFormatting xmlns:xm="http://schemas.microsoft.com/office/excel/2006/main">
          <x14:cfRule type="cellIs" priority="22" aboveAverage="0" operator="lessThan" rank="0" text="" id="{00710028-0004-4307-B4F0-00410084009D}">
            <xm:f>0</xm:f>
            <x14:dxf>
              <font>
                <b/>
                <sz val="9.000000"/>
                <color rgb="FFDC2626"/>
                <name val="Arial"/>
              </font>
              <fill>
                <patternFill patternType="solid">
                  <fgColor rgb="FFFEE2E2"/>
                  <bgColor rgb="FFFEE2E2"/>
                </patternFill>
              </fill>
            </x14:dxf>
          </x14:cfRule>
          <xm:sqref>W33</xm:sqref>
        </x14:conditionalFormatting>
        <x14:conditionalFormatting xmlns:xm="http://schemas.microsoft.com/office/excel/2006/main">
          <x14:cfRule type="cellIs" priority="23" aboveAverage="0" operator="lessThan" rank="0" text="" id="{0083004B-00DC-4C10-9B77-008200BE0058}">
            <xm:f>0</xm:f>
            <x14:dxf>
              <font>
                <b/>
                <sz val="9.000000"/>
                <color rgb="FFDC2626"/>
                <name val="Arial"/>
              </font>
              <fill>
                <patternFill patternType="solid">
                  <fgColor rgb="FFFEE2E2"/>
                  <bgColor rgb="FFFEE2E2"/>
                </patternFill>
              </fill>
            </x14:dxf>
          </x14:cfRule>
          <xm:sqref>X33</xm:sqref>
        </x14:conditionalFormatting>
        <x14:conditionalFormatting xmlns:xm="http://schemas.microsoft.com/office/excel/2006/main">
          <x14:cfRule type="cellIs" priority="24" aboveAverage="0" operator="lessThan" rank="0" text="" id="{008A003F-0088-43AE-A963-00100018007F}">
            <xm:f>0</xm:f>
            <x14:dxf>
              <font>
                <b/>
                <sz val="9.000000"/>
                <color rgb="FFDC2626"/>
                <name val="Arial"/>
              </font>
              <fill>
                <patternFill patternType="solid">
                  <fgColor rgb="FFFEE2E2"/>
                  <bgColor rgb="FFFEE2E2"/>
                </patternFill>
              </fill>
            </x14:dxf>
          </x14:cfRule>
          <xm:sqref>Y33</xm:sqref>
        </x14:conditionalFormatting>
        <x14:conditionalFormatting xmlns:xm="http://schemas.microsoft.com/office/excel/2006/main">
          <x14:cfRule type="cellIs" priority="25" aboveAverage="0" operator="lessThan" rank="0" text="" id="{00C400F4-0081-4C27-86B8-007200BE00F7}">
            <xm:f>0</xm:f>
            <x14:dxf>
              <font>
                <b/>
                <sz val="9.000000"/>
                <color rgb="FFDC2626"/>
                <name val="Arial"/>
              </font>
              <fill>
                <patternFill patternType="solid">
                  <fgColor rgb="FFFEE2E2"/>
                  <bgColor rgb="FFFEE2E2"/>
                </patternFill>
              </fill>
            </x14:dxf>
          </x14:cfRule>
          <xm:sqref>Z33</xm:sqref>
        </x14:conditionalFormatting>
        <x14:conditionalFormatting xmlns:xm="http://schemas.microsoft.com/office/excel/2006/main">
          <x14:cfRule type="cellIs" priority="26" aboveAverage="0" operator="greaterThan" rank="0" text="" id="{0091007E-00B5-4A39-A8AE-008D00350005}">
            <xm:f>0</xm:f>
            <x14:dxf>
              <font>
                <b/>
                <sz val="11.000000"/>
                <color rgb="FF16A34A"/>
                <name val="Arial"/>
              </font>
              <fill>
                <patternFill patternType="solid">
                  <fgColor rgb="FFDCFCE7"/>
                  <bgColor rgb="FFDCFCE7"/>
                </patternFill>
              </fill>
            </x14:dxf>
          </x14:cfRule>
          <xm:sqref>C37</xm:sqref>
        </x14:conditionalFormatting>
        <x14:conditionalFormatting xmlns:xm="http://schemas.microsoft.com/office/excel/2006/main">
          <x14:cfRule type="cellIs" priority="27" aboveAverage="0" operator="lessThanOrEqual" rank="0" text="" id="{005B0007-00B7-40DC-9115-006C00000073}">
            <xm:f>0</xm:f>
            <x14:dxf>
              <font>
                <b/>
                <sz val="11.000000"/>
                <color rgb="FFDC2626"/>
                <name val="Arial"/>
              </font>
              <fill>
                <patternFill patternType="solid">
                  <fgColor rgb="FFFEE2E2"/>
                  <bgColor rgb="FFFEE2E2"/>
                </patternFill>
              </fill>
            </x14:dxf>
          </x14:cfRule>
          <xm:sqref>C37</xm:sqref>
        </x14:conditionalFormatting>
        <x14:conditionalFormatting xmlns:xm="http://schemas.microsoft.com/office/excel/2006/main">
          <x14:cfRule type="expression" priority="28" aboveAverage="0" rank="0" text="" id="{00970008-0052-4EA0-A34C-0012001800CF}">
            <xm:f>C38&gt;CHOOSE($C$6,'1. Assumptions'!C35,'1. Assumptions'!D35,'1. Assumptions'!E35)</xm:f>
            <x14:dxf>
              <font>
                <b/>
                <sz val="11.000000"/>
                <color rgb="FF16A34A"/>
                <name val="Arial"/>
              </font>
              <fill>
                <patternFill patternType="solid">
                  <fgColor rgb="FFDCFCE7"/>
                  <bgColor rgb="FFDCFCE7"/>
                </patternFill>
              </fill>
            </x14:dxf>
          </x14:cfRule>
          <xm:sqref>C38</xm:sqref>
        </x14:conditionalFormatting>
        <x14:conditionalFormatting xmlns:xm="http://schemas.microsoft.com/office/excel/2006/main">
          <x14:cfRule type="expression" priority="29" aboveAverage="0" rank="0" text="" id="{000100FB-0009-44FC-A812-0015007A0010}">
            <xm:f>C38&lt;=CHOOSE($C$6,'1. Assumptions'!C35,'1. Assumptions'!D35,'1. Assumptions'!E35)</xm:f>
            <x14:dxf>
              <font>
                <b/>
                <sz val="11.000000"/>
                <color rgb="FFDC2626"/>
                <name val="Arial"/>
              </font>
              <fill>
                <patternFill patternType="solid">
                  <fgColor rgb="FFFEE2E2"/>
                  <bgColor rgb="FFFEE2E2"/>
                </patternFill>
              </fill>
            </x14:dxf>
          </x14:cfRule>
          <xm:sqref>C38</xm:sqref>
        </x14:conditionalFormatting>
        <x14:conditionalFormatting xmlns:xm="http://schemas.microsoft.com/office/excel/2006/main">
          <x14:cfRule type="expression" priority="30" aboveAverage="0" rank="0" text="" id="{00B10009-008D-453D-B840-000E0088003E}">
            <xm:f>AND(ISNUMBER(C40),C40&lt;12)</xm:f>
            <x14:dxf>
              <font>
                <b/>
                <sz val="11.000000"/>
                <color rgb="FFDC2626"/>
                <name val="Arial"/>
              </font>
              <fill>
                <patternFill patternType="solid">
                  <fgColor rgb="FFFEE2E2"/>
                  <bgColor rgb="FFFEE2E2"/>
                </patternFill>
              </fill>
            </x14:dxf>
          </x14:cfRule>
          <xm:sqref>C40</xm:sqref>
        </x14:conditionalFormatting>
      </x14:conditionalFormattings>
    </ext>
    <ext xmlns:x14="http://schemas.microsoft.com/office/spreadsheetml/2009/9/main" uri="{CCE6A557-97BC-4b89-ADB6-D9C93CAAB3DF}">
      <x14:dataValidations xmlns:xm="http://schemas.microsoft.com/office/excel/2006/main" count="1" disablePrompts="0">
        <x14:dataValidation xr:uid="{00FB00C5-003C-4E2C-A70F-00350075008D}" type="list" allowBlank="0" errorStyle="stop" imeMode="noControl" operator="between" showDropDown="0" showErrorMessage="0" showInputMessage="0">
          <x14:formula1>
            <xm:f>"Optimistic,Base,Pessimistic"</xm:f>
          </x14:formula1>
          <x14:formula2>
            <xm:f>0</xm:f>
          </x14:formula2>
          <xm:sqref>C4</xm:sqref>
        </x14:dataValidation>
      </x14:dataValidations>
    </ext>
  </extLst>
</worksheet>
</file>

<file path=docProps/app.xml><?xml version="1.0" encoding="utf-8"?>
<Properties xmlns="http://schemas.openxmlformats.org/officeDocument/2006/extended-properties" xmlns:vt="http://schemas.openxmlformats.org/officeDocument/2006/docPropsVTypes">
  <Template/>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revision>2</cp:revision>
  <dcterms:created xsi:type="dcterms:W3CDTF">2026-05-03T14:07:25Z</dcterms:created>
  <dcterms:modified xsi:type="dcterms:W3CDTF">2026-05-04T05:56:42Z</dcterms:modified>
</cp:coreProperties>
</file>